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tabRatio="697"/>
  </bookViews>
  <sheets>
    <sheet name="附件1考勤表 " sheetId="1" r:id="rId1"/>
    <sheet name="附件2非正常出勤人员汇总表 " sheetId="2" r:id="rId2"/>
    <sheet name="附件3考勤统计汇总表" sheetId="3" r:id="rId3"/>
    <sheet name="附件4车间部门变动表" sheetId="4" r:id="rId4"/>
    <sheet name="Sheet1" sheetId="5" r:id="rId5"/>
  </sheets>
  <definedNames>
    <definedName name="_xlnm._FilterDatabase" localSheetId="0" hidden="1">'附件1考勤表 '!$A$5:$IS$144</definedName>
    <definedName name="_xlnm._FilterDatabase" localSheetId="1" hidden="1">'附件2非正常出勤人员汇总表 '!$A$4:$IV$138</definedName>
    <definedName name="_xlnm._FilterDatabase" localSheetId="3" hidden="1">附件4车间部门变动表!$B$3:$J$17</definedName>
    <definedName name="_xlnm._FilterDatabase" localSheetId="2" hidden="1">附件3考勤统计汇总表!$A$1:$F$123</definedName>
    <definedName name="bumen">#REF!</definedName>
    <definedName name="_xlnm.Print_Area" localSheetId="0">'附件1考勤表 '!$B$19:$F$484</definedName>
    <definedName name="_xlnm.Print_Titles" localSheetId="1">'附件2非正常出勤人员汇总表 '!$4:$4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>及时更改出勤天数</t>
        </r>
      </text>
    </comment>
  </commentList>
</comments>
</file>

<file path=xl/sharedStrings.xml><?xml version="1.0" encoding="utf-8"?>
<sst xmlns="http://schemas.openxmlformats.org/spreadsheetml/2006/main" count="5072" uniqueCount="286">
  <si>
    <t>考  勤  表</t>
  </si>
  <si>
    <t>车间（公司）： 淄博运用二车间</t>
  </si>
  <si>
    <t>负责人：  周晓丹</t>
  </si>
  <si>
    <t>考勤人：李军</t>
  </si>
  <si>
    <t>电话：85963</t>
  </si>
  <si>
    <t>序号</t>
  </si>
  <si>
    <t>班组</t>
  </si>
  <si>
    <t>工号</t>
  </si>
  <si>
    <t>姓名</t>
  </si>
  <si>
    <t>职名</t>
  </si>
  <si>
    <t>班制</t>
  </si>
  <si>
    <t>日     期</t>
  </si>
  <si>
    <t>应出勤天数</t>
  </si>
  <si>
    <t>实际出勤天数</t>
  </si>
  <si>
    <t>假  别  合  计</t>
  </si>
  <si>
    <t>病假</t>
  </si>
  <si>
    <t>事假</t>
  </si>
  <si>
    <t>探亲</t>
  </si>
  <si>
    <t>年休</t>
  </si>
  <si>
    <t>婚丧</t>
  </si>
  <si>
    <t>工伤</t>
  </si>
  <si>
    <t>产护</t>
  </si>
  <si>
    <t>旷工</t>
  </si>
  <si>
    <t>拘逮</t>
  </si>
  <si>
    <t>康养</t>
  </si>
  <si>
    <t>育儿</t>
  </si>
  <si>
    <t>陪产</t>
  </si>
  <si>
    <t>合计</t>
  </si>
  <si>
    <t>东线队</t>
  </si>
  <si>
    <t>李军</t>
  </si>
  <si>
    <t>支部书记</t>
  </si>
  <si>
    <t>日勤</t>
  </si>
  <si>
    <t>添</t>
  </si>
  <si>
    <t>日</t>
  </si>
  <si>
    <t>休</t>
  </si>
  <si>
    <t>夏堃</t>
  </si>
  <si>
    <t>车队长</t>
  </si>
  <si>
    <t>东线队第一指导组</t>
  </si>
  <si>
    <t>张盼</t>
  </si>
  <si>
    <t>指导司机</t>
  </si>
  <si>
    <t>抽</t>
  </si>
  <si>
    <t>东线队第二指导组</t>
  </si>
  <si>
    <t>张鹏</t>
  </si>
  <si>
    <t>培</t>
  </si>
  <si>
    <t>东线队第三指导组</t>
  </si>
  <si>
    <t>于鹏飞</t>
  </si>
  <si>
    <t>东线队第四指导组</t>
  </si>
  <si>
    <t>王治成</t>
  </si>
  <si>
    <t>东线队第五指导组</t>
  </si>
  <si>
    <t>孟祥岩</t>
  </si>
  <si>
    <t>冯永谱</t>
  </si>
  <si>
    <t>司机</t>
  </si>
  <si>
    <t>四班</t>
  </si>
  <si>
    <t>白</t>
  </si>
  <si>
    <t>夜</t>
  </si>
  <si>
    <t>乘</t>
  </si>
  <si>
    <t>年</t>
  </si>
  <si>
    <t>5-23日动车车间帮乘</t>
  </si>
  <si>
    <t>李勇</t>
  </si>
  <si>
    <t>副司机</t>
  </si>
  <si>
    <t>下</t>
  </si>
  <si>
    <t>上</t>
  </si>
  <si>
    <t>张程皓</t>
  </si>
  <si>
    <t>机车检查强化培训、考试</t>
  </si>
  <si>
    <t>贾尧锋</t>
  </si>
  <si>
    <t>司机长</t>
  </si>
  <si>
    <t>李洪宝</t>
  </si>
  <si>
    <t>宋勇</t>
  </si>
  <si>
    <t>周洋</t>
  </si>
  <si>
    <t>徐强</t>
  </si>
  <si>
    <t>聊城司机轮训</t>
  </si>
  <si>
    <t>7612410</t>
  </si>
  <si>
    <t>张砚钧</t>
  </si>
  <si>
    <t>崔少卿</t>
  </si>
  <si>
    <t>尹哲文</t>
  </si>
  <si>
    <t>病</t>
  </si>
  <si>
    <t>邓天明</t>
  </si>
  <si>
    <t>王宁</t>
  </si>
  <si>
    <t>康</t>
  </si>
  <si>
    <t>陈文凯</t>
  </si>
  <si>
    <t>李志怡</t>
  </si>
  <si>
    <t>积分下线培训</t>
  </si>
  <si>
    <t>闫雅文</t>
  </si>
  <si>
    <t>李子奇</t>
  </si>
  <si>
    <t>柳世博</t>
  </si>
  <si>
    <t>左铭超</t>
  </si>
  <si>
    <t>王朝伟</t>
  </si>
  <si>
    <t>韩明杰</t>
  </si>
  <si>
    <t>蔡兆江</t>
  </si>
  <si>
    <t>刘三生</t>
  </si>
  <si>
    <t>杨志勇</t>
  </si>
  <si>
    <t>刘泽法</t>
  </si>
  <si>
    <t>邓徳洋</t>
  </si>
  <si>
    <t>安勇</t>
  </si>
  <si>
    <t>张云鹏</t>
  </si>
  <si>
    <t>王贺雨</t>
  </si>
  <si>
    <t>机车检查强化培训</t>
  </si>
  <si>
    <t>李伟宁</t>
  </si>
  <si>
    <t>刘祥东</t>
  </si>
  <si>
    <t>昌小兵</t>
  </si>
  <si>
    <t>张鑫杰</t>
  </si>
  <si>
    <t>李绍丰</t>
  </si>
  <si>
    <t>李朋飞</t>
  </si>
  <si>
    <t>王刚滨</t>
  </si>
  <si>
    <t>于峰</t>
  </si>
  <si>
    <t>7610685</t>
  </si>
  <si>
    <t>许展鹏</t>
  </si>
  <si>
    <t>厂</t>
  </si>
  <si>
    <t>闫东</t>
  </si>
  <si>
    <t>7642325</t>
  </si>
  <si>
    <t>吴博</t>
  </si>
  <si>
    <t>聊城司机轮训28-11.1</t>
  </si>
  <si>
    <t>张哲玮</t>
  </si>
  <si>
    <t>王克锋</t>
  </si>
  <si>
    <t>刘水</t>
  </si>
  <si>
    <t>7612380</t>
  </si>
  <si>
    <t>王嘉尧</t>
  </si>
  <si>
    <t>宋健</t>
  </si>
  <si>
    <t>谭晓彤</t>
  </si>
  <si>
    <t>李明旭</t>
  </si>
  <si>
    <t>刘瑞棋</t>
  </si>
  <si>
    <t>崔伟</t>
  </si>
  <si>
    <t>技教员</t>
  </si>
  <si>
    <t>节</t>
  </si>
  <si>
    <t>吕浩然</t>
  </si>
  <si>
    <t>李少武</t>
  </si>
  <si>
    <t>王海</t>
  </si>
  <si>
    <t>7610560</t>
  </si>
  <si>
    <t>高群</t>
  </si>
  <si>
    <t>樊晨腾</t>
  </si>
  <si>
    <t>殷尚宏</t>
  </si>
  <si>
    <t>李中峰</t>
  </si>
  <si>
    <t>于汉峰</t>
  </si>
  <si>
    <t>7610772</t>
  </si>
  <si>
    <t>李齐</t>
  </si>
  <si>
    <t>姜传旭</t>
  </si>
  <si>
    <t>于傲然</t>
  </si>
  <si>
    <t>刘重义</t>
  </si>
  <si>
    <t>刘兴宇</t>
  </si>
  <si>
    <t>姜涛</t>
  </si>
  <si>
    <t>张磊</t>
  </si>
  <si>
    <t>苏杭</t>
  </si>
  <si>
    <t>红线待岗培训</t>
  </si>
  <si>
    <t>李彦彤</t>
  </si>
  <si>
    <t>宫庆晖</t>
  </si>
  <si>
    <t>韩建成</t>
  </si>
  <si>
    <t>芦俊杰</t>
  </si>
  <si>
    <t>李冰清</t>
  </si>
  <si>
    <t>探</t>
  </si>
  <si>
    <t>婚</t>
  </si>
  <si>
    <t>徐康</t>
  </si>
  <si>
    <t>高艳博</t>
  </si>
  <si>
    <t>王发展</t>
  </si>
  <si>
    <t>张毅秋</t>
  </si>
  <si>
    <t>潘高峰</t>
  </si>
  <si>
    <t>罗恒</t>
  </si>
  <si>
    <t>袁伟</t>
  </si>
  <si>
    <t>武鸣远</t>
  </si>
  <si>
    <t>衣星伟</t>
  </si>
  <si>
    <t>魏承龙</t>
  </si>
  <si>
    <t>段军舰</t>
  </si>
  <si>
    <t>郝俊博</t>
  </si>
  <si>
    <t>7642331</t>
  </si>
  <si>
    <t>陈德明</t>
  </si>
  <si>
    <t>姜俊山</t>
  </si>
  <si>
    <t>吴为</t>
  </si>
  <si>
    <t>刘士永</t>
  </si>
  <si>
    <t>王佳旭</t>
  </si>
  <si>
    <t>车间强化培训</t>
  </si>
  <si>
    <t>李建新</t>
  </si>
  <si>
    <t>7612365</t>
  </si>
  <si>
    <t>卢涛</t>
  </si>
  <si>
    <t>李国良</t>
  </si>
  <si>
    <t xml:space="preserve">7611472 </t>
  </si>
  <si>
    <t>赵肖豪杰</t>
  </si>
  <si>
    <t>吕佳仕</t>
  </si>
  <si>
    <t>刘永辉</t>
  </si>
  <si>
    <t>韩毅</t>
  </si>
  <si>
    <t>逯军</t>
  </si>
  <si>
    <t>孟令辉</t>
  </si>
  <si>
    <t>于晓祺</t>
  </si>
  <si>
    <t>事</t>
  </si>
  <si>
    <t>张小刚</t>
  </si>
  <si>
    <t>李显喆</t>
  </si>
  <si>
    <t>宁允扬</t>
  </si>
  <si>
    <t>彭铖</t>
  </si>
  <si>
    <t>董明</t>
  </si>
  <si>
    <t>王文强</t>
  </si>
  <si>
    <t>7611709</t>
  </si>
  <si>
    <t>鞠鑫</t>
  </si>
  <si>
    <t>刘彦</t>
  </si>
  <si>
    <t>周学永</t>
  </si>
  <si>
    <t>张斌</t>
  </si>
  <si>
    <t>孙德全</t>
  </si>
  <si>
    <t>田洪涛</t>
  </si>
  <si>
    <t>李兴友</t>
  </si>
  <si>
    <t>崔润昭</t>
  </si>
  <si>
    <t>张旭</t>
  </si>
  <si>
    <t>冯黎明</t>
  </si>
  <si>
    <t>张海滨</t>
  </si>
  <si>
    <t>于茂江</t>
  </si>
  <si>
    <t>于鑫</t>
  </si>
  <si>
    <t>李万玉</t>
  </si>
  <si>
    <t>刘炬</t>
  </si>
  <si>
    <t>董涛</t>
  </si>
  <si>
    <t>潘卫卫</t>
  </si>
  <si>
    <t>朱少波</t>
  </si>
  <si>
    <t>高正敏</t>
  </si>
  <si>
    <t>梁强</t>
  </si>
  <si>
    <t>王振波</t>
  </si>
  <si>
    <t>李德</t>
  </si>
  <si>
    <t>伤</t>
  </si>
  <si>
    <t>刘志豪</t>
  </si>
  <si>
    <t>段青年优秀人才培训</t>
  </si>
  <si>
    <t>袁迪</t>
  </si>
  <si>
    <t>李海廷</t>
  </si>
  <si>
    <t>董宁</t>
  </si>
  <si>
    <t>周钰</t>
  </si>
  <si>
    <t>潘相宇</t>
  </si>
  <si>
    <t>王殿民</t>
  </si>
  <si>
    <t>审核人：</t>
  </si>
  <si>
    <t>电话：0407-82983</t>
  </si>
  <si>
    <t>附件2</t>
  </si>
  <si>
    <t>非 正 常 出 勤 人 员 汇 总 表</t>
  </si>
  <si>
    <t>劳动人事部门：（章）                                                                                                                     2023年10月</t>
  </si>
  <si>
    <t>车间部门</t>
  </si>
  <si>
    <t>职务</t>
  </si>
  <si>
    <t>病a</t>
  </si>
  <si>
    <t>事b</t>
  </si>
  <si>
    <t>探c</t>
  </si>
  <si>
    <t>年d</t>
  </si>
  <si>
    <t>婚e</t>
  </si>
  <si>
    <t>伤f</t>
  </si>
  <si>
    <t>产g</t>
  </si>
  <si>
    <t>丧h</t>
  </si>
  <si>
    <t>旷i</t>
  </si>
  <si>
    <t>拘j</t>
  </si>
  <si>
    <t>计生k</t>
  </si>
  <si>
    <t>护理l</t>
  </si>
  <si>
    <t>康养m</t>
  </si>
  <si>
    <t>育儿n</t>
  </si>
  <si>
    <t>陪产o</t>
  </si>
  <si>
    <t>缺勤天数</t>
  </si>
  <si>
    <t>病假原因</t>
  </si>
  <si>
    <t>审核：</t>
  </si>
  <si>
    <t>制表：周晓丹</t>
  </si>
  <si>
    <t>劳人科电话：0533-84113</t>
  </si>
  <si>
    <t>青岛监察科电话：77159</t>
  </si>
  <si>
    <t>日期:2023.11.3</t>
  </si>
  <si>
    <t>附件3：</t>
  </si>
  <si>
    <r>
      <rPr>
        <sz val="14"/>
        <rFont val="宋体"/>
        <charset val="134"/>
      </rPr>
      <t>青岛机务段淄博运二车间</t>
    </r>
    <r>
      <rPr>
        <sz val="14"/>
        <rFont val="Times New Roman"/>
        <charset val="134"/>
      </rPr>
      <t>2023</t>
    </r>
    <r>
      <rPr>
        <sz val="14"/>
        <rFont val="宋体"/>
        <charset val="134"/>
      </rPr>
      <t>年10月份考勤统计汇总表</t>
    </r>
  </si>
  <si>
    <t>现有人数</t>
  </si>
  <si>
    <t>实出勤天数</t>
  </si>
  <si>
    <t>出勤率</t>
  </si>
  <si>
    <t>产护陪</t>
  </si>
  <si>
    <t>产后</t>
  </si>
  <si>
    <t>备注</t>
  </si>
  <si>
    <t>上月</t>
  </si>
  <si>
    <t>本月</t>
  </si>
  <si>
    <t>人</t>
  </si>
  <si>
    <t>天</t>
  </si>
  <si>
    <t>支线队</t>
  </si>
  <si>
    <t>加2</t>
  </si>
  <si>
    <t>调车队</t>
  </si>
  <si>
    <t>淄博整备队</t>
  </si>
  <si>
    <t>东风整备队</t>
  </si>
  <si>
    <t>派班室</t>
  </si>
  <si>
    <t>加1</t>
  </si>
  <si>
    <t>车间部门负责人：</t>
  </si>
  <si>
    <t>电话：</t>
  </si>
  <si>
    <t>日期</t>
  </si>
  <si>
    <t>2023.11.3</t>
  </si>
  <si>
    <t>注：</t>
  </si>
  <si>
    <t>1.班组人员变化的在备注中注明。例：班组上月26人，本月25人，备注中注明“调出XXX到XX班组”</t>
  </si>
  <si>
    <t>2.车间部门负责人须手工签字。</t>
  </si>
  <si>
    <t>3.本表每月7日前随《考勤表》一并上报。</t>
  </si>
  <si>
    <t>附件4：</t>
  </si>
  <si>
    <t>车间部门人员变动表</t>
  </si>
  <si>
    <t>原车间</t>
  </si>
  <si>
    <t>现车间</t>
  </si>
  <si>
    <t>原班组</t>
  </si>
  <si>
    <t>现班组</t>
  </si>
  <si>
    <t>本月增加人员数：</t>
  </si>
  <si>
    <t>本月减少人员数：</t>
  </si>
  <si>
    <t>人员合计：488</t>
  </si>
  <si>
    <t>日期：2023.11.3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</si>
</sst>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#"/>
    <numFmt numFmtId="177" formatCode="0.00_ "/>
  </numFmts>
  <fonts count="72">
    <font>
      <sz val="12"/>
      <name val="宋体"/>
      <charset val="134"/>
    </font>
    <font>
      <sz val="7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  <scheme val="minor"/>
    </font>
    <font>
      <sz val="6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9"/>
      <name val="宋体"/>
      <charset val="134"/>
      <scheme val="minor"/>
    </font>
    <font>
      <sz val="10"/>
      <name val="宋体"/>
      <charset val="134"/>
      <scheme val="minor"/>
    </font>
    <font>
      <sz val="9"/>
      <color rgb="FFFF0000"/>
      <name val="宋体"/>
      <charset val="134"/>
    </font>
    <font>
      <b/>
      <sz val="6"/>
      <name val="宋体"/>
      <charset val="134"/>
    </font>
    <font>
      <sz val="9"/>
      <color rgb="FF1408B8"/>
      <name val="宋体"/>
      <charset val="134"/>
    </font>
    <font>
      <sz val="12"/>
      <color rgb="FFFF0000"/>
      <name val="宋体"/>
      <charset val="134"/>
    </font>
    <font>
      <sz val="14"/>
      <name val="宋体"/>
      <charset val="134"/>
    </font>
    <font>
      <sz val="9"/>
      <name val="黑体"/>
      <charset val="134"/>
    </font>
    <font>
      <b/>
      <sz val="9"/>
      <name val="宋体"/>
      <charset val="134"/>
    </font>
    <font>
      <sz val="9"/>
      <name val="仿宋_GB2312"/>
      <charset val="134"/>
    </font>
    <font>
      <sz val="9"/>
      <color rgb="FF1115B5"/>
      <name val="宋体"/>
      <charset val="134"/>
      <scheme val="minor"/>
    </font>
    <font>
      <sz val="9"/>
      <color rgb="FF1115B5"/>
      <name val="宋体"/>
      <charset val="134"/>
    </font>
    <font>
      <sz val="9"/>
      <color rgb="FF1115B5"/>
      <name val="仿宋_GB2312"/>
      <charset val="134"/>
    </font>
    <font>
      <sz val="9"/>
      <color rgb="FF7030A0"/>
      <name val="宋体"/>
      <charset val="134"/>
      <scheme val="minor"/>
    </font>
    <font>
      <sz val="9"/>
      <color rgb="FF7030A0"/>
      <name val="宋体"/>
      <charset val="134"/>
    </font>
    <font>
      <sz val="8"/>
      <name val="宋体"/>
      <charset val="134"/>
      <scheme val="minor"/>
    </font>
    <font>
      <sz val="8"/>
      <name val="宋体"/>
      <charset val="134"/>
    </font>
    <font>
      <sz val="8"/>
      <color rgb="FF1115B5"/>
      <name val="宋体"/>
      <charset val="134"/>
    </font>
    <font>
      <sz val="8"/>
      <color rgb="FF1115B5"/>
      <name val="宋体"/>
      <charset val="134"/>
      <scheme val="minor"/>
    </font>
    <font>
      <sz val="8"/>
      <color rgb="FF7030A0"/>
      <name val="宋体"/>
      <charset val="134"/>
      <scheme val="minor"/>
    </font>
    <font>
      <sz val="8"/>
      <color rgb="FF7030A0"/>
      <name val="宋体"/>
      <charset val="134"/>
    </font>
    <font>
      <sz val="8"/>
      <color rgb="FF1408B8"/>
      <name val="宋体"/>
      <charset val="134"/>
    </font>
    <font>
      <sz val="6"/>
      <color rgb="FF1408B8"/>
      <name val="宋体"/>
      <charset val="134"/>
    </font>
    <font>
      <sz val="9"/>
      <color rgb="FFC00000"/>
      <name val="宋体"/>
      <charset val="134"/>
      <scheme val="minor"/>
    </font>
    <font>
      <sz val="9"/>
      <color rgb="FFC00000"/>
      <name val="宋体"/>
      <charset val="134"/>
    </font>
    <font>
      <sz val="8"/>
      <color rgb="FFC00000"/>
      <name val="宋体"/>
      <charset val="134"/>
    </font>
    <font>
      <sz val="9"/>
      <color rgb="FF00B050"/>
      <name val="宋体"/>
      <charset val="134"/>
    </font>
    <font>
      <sz val="7"/>
      <color rgb="FFFF0000"/>
      <name val="宋体"/>
      <charset val="134"/>
      <scheme val="minor"/>
    </font>
    <font>
      <sz val="6"/>
      <name val="宋体"/>
      <charset val="134"/>
      <scheme val="minor"/>
    </font>
    <font>
      <sz val="7"/>
      <name val="宋体"/>
      <charset val="134"/>
    </font>
    <font>
      <sz val="7"/>
      <color rgb="FFFF0000"/>
      <name val="宋体"/>
      <charset val="134"/>
    </font>
    <font>
      <sz val="7"/>
      <color indexed="8"/>
      <name val="宋体"/>
      <charset val="134"/>
    </font>
    <font>
      <sz val="7"/>
      <color rgb="FF0070C0"/>
      <name val="宋体"/>
      <charset val="134"/>
      <scheme val="minor"/>
    </font>
    <font>
      <sz val="7"/>
      <color rgb="FF0070C0"/>
      <name val="宋体"/>
      <charset val="134"/>
    </font>
    <font>
      <sz val="7"/>
      <color rgb="FF7030A0"/>
      <name val="宋体"/>
      <charset val="134"/>
    </font>
    <font>
      <sz val="7"/>
      <color rgb="FF7030A0"/>
      <name val="宋体"/>
      <charset val="134"/>
      <scheme val="minor"/>
    </font>
    <font>
      <sz val="7"/>
      <color rgb="FFC00000"/>
      <name val="宋体"/>
      <charset val="134"/>
    </font>
    <font>
      <sz val="7"/>
      <color rgb="FFC00000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2"/>
      <color indexed="12"/>
      <name val="宋体"/>
      <charset val="134"/>
    </font>
    <font>
      <sz val="10"/>
      <name val="Helv"/>
      <charset val="134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name val="Times New Roman"/>
      <charset val="134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indexed="8"/>
      <name val="宋体"/>
      <charset val="134"/>
    </font>
    <font>
      <sz val="14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C8E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83">
    <xf numFmtId="0" fontId="0" fillId="0" borderId="0"/>
    <xf numFmtId="42" fontId="5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0" fontId="0" fillId="0" borderId="0">
      <protection locked="0"/>
    </xf>
    <xf numFmtId="0" fontId="53" fillId="13" borderId="0" applyNumberFormat="0" applyBorder="0" applyAlignment="0" applyProtection="0">
      <alignment vertical="center"/>
    </xf>
    <xf numFmtId="0" fontId="48" fillId="7" borderId="7" applyNumberFormat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43" fontId="50" fillId="0" borderId="0" applyFont="0" applyFill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0" fontId="0" fillId="0" borderId="0"/>
    <xf numFmtId="0" fontId="58" fillId="0" borderId="0" applyNumberFormat="0" applyFill="0" applyBorder="0" applyAlignment="0" applyProtection="0">
      <alignment vertical="center"/>
    </xf>
    <xf numFmtId="0" fontId="50" fillId="22" borderId="9" applyNumberFormat="0" applyFont="0" applyAlignment="0" applyProtection="0">
      <alignment vertical="center"/>
    </xf>
    <xf numFmtId="0" fontId="0" fillId="0" borderId="0">
      <alignment vertical="center"/>
    </xf>
    <xf numFmtId="0" fontId="51" fillId="23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3" fillId="0" borderId="0"/>
    <xf numFmtId="0" fontId="6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52" fillId="0" borderId="0" applyNumberFormat="0" applyFill="0" applyBorder="0" applyAlignment="0" applyProtection="0">
      <alignment vertical="center"/>
    </xf>
    <xf numFmtId="0" fontId="66" fillId="0" borderId="11" applyNumberFormat="0" applyFill="0" applyAlignment="0" applyProtection="0">
      <alignment vertical="center"/>
    </xf>
    <xf numFmtId="0" fontId="60" fillId="0" borderId="0"/>
    <xf numFmtId="0" fontId="65" fillId="0" borderId="11" applyNumberFormat="0" applyFill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45" fillId="4" borderId="6" applyNumberFormat="0" applyAlignment="0" applyProtection="0">
      <alignment vertical="center"/>
    </xf>
    <xf numFmtId="0" fontId="55" fillId="4" borderId="7" applyNumberFormat="0" applyAlignment="0" applyProtection="0">
      <alignment vertical="center"/>
    </xf>
    <xf numFmtId="0" fontId="49" fillId="8" borderId="8" applyNumberFormat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60" fillId="0" borderId="0" applyProtection="0"/>
    <xf numFmtId="0" fontId="53" fillId="27" borderId="0" applyNumberFormat="0" applyBorder="0" applyAlignment="0" applyProtection="0">
      <alignment vertical="center"/>
    </xf>
    <xf numFmtId="0" fontId="67" fillId="0" borderId="12" applyNumberFormat="0" applyFill="0" applyAlignment="0" applyProtection="0">
      <alignment vertical="center"/>
    </xf>
    <xf numFmtId="0" fontId="61" fillId="0" borderId="10" applyNumberFormat="0" applyFill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0" fillId="0" borderId="0"/>
    <xf numFmtId="0" fontId="51" fillId="30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0" fillId="0" borderId="0">
      <protection locked="0"/>
    </xf>
    <xf numFmtId="0" fontId="53" fillId="33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0" fillId="0" borderId="0" applyProtection="0"/>
    <xf numFmtId="0" fontId="53" fillId="34" borderId="0" applyNumberFormat="0" applyBorder="0" applyAlignment="0" applyProtection="0">
      <alignment vertical="center"/>
    </xf>
    <xf numFmtId="0" fontId="0" fillId="0" borderId="0" applyProtection="0"/>
    <xf numFmtId="0" fontId="51" fillId="28" borderId="0" applyNumberFormat="0" applyBorder="0" applyAlignment="0" applyProtection="0">
      <alignment vertical="center"/>
    </xf>
    <xf numFmtId="0" fontId="63" fillId="0" borderId="0"/>
    <xf numFmtId="0" fontId="0" fillId="0" borderId="0">
      <alignment vertical="center"/>
    </xf>
    <xf numFmtId="0" fontId="0" fillId="0" borderId="0">
      <alignment vertical="center"/>
    </xf>
    <xf numFmtId="0" fontId="68" fillId="0" borderId="0"/>
    <xf numFmtId="0" fontId="0" fillId="0" borderId="0"/>
    <xf numFmtId="0" fontId="0" fillId="0" borderId="0">
      <protection locked="0"/>
    </xf>
    <xf numFmtId="0" fontId="0" fillId="0" borderId="0"/>
    <xf numFmtId="0" fontId="68" fillId="0" borderId="0">
      <protection locked="0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9" fillId="0" borderId="0" applyNumberFormat="0" applyFill="0" applyBorder="0" applyAlignment="0" applyProtection="0">
      <alignment vertical="top"/>
      <protection locked="0"/>
    </xf>
    <xf numFmtId="44" fontId="0" fillId="0" borderId="0" applyFont="0" applyFill="0" applyBorder="0" applyAlignment="0" applyProtection="0">
      <alignment vertical="center"/>
    </xf>
    <xf numFmtId="0" fontId="60" fillId="0" borderId="0"/>
  </cellStyleXfs>
  <cellXfs count="189">
    <xf numFmtId="0" fontId="0" fillId="0" borderId="0" xfId="0" applyFont="1"/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 shrinkToFit="1"/>
    </xf>
    <xf numFmtId="0" fontId="0" fillId="0" borderId="0" xfId="0" applyFont="1" applyFill="1" applyAlignment="1">
      <alignment horizontal="center" shrinkToFit="1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shrinkToFit="1" readingOrder="2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82" applyNumberFormat="1" applyFont="1" applyBorder="1" applyAlignment="1">
      <alignment horizontal="center" vertical="center" shrinkToFit="1" readingOrder="2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82" applyNumberFormat="1" applyFont="1" applyBorder="1" applyAlignment="1">
      <alignment horizontal="center" vertical="center" shrinkToFit="1" readingOrder="2"/>
    </xf>
    <xf numFmtId="0" fontId="9" fillId="0" borderId="1" xfId="82" applyNumberFormat="1" applyFont="1" applyBorder="1" applyAlignment="1">
      <alignment horizontal="center" vertical="center" shrinkToFit="1" readingOrder="2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shrinkToFit="1"/>
    </xf>
    <xf numFmtId="0" fontId="10" fillId="0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2" fillId="0" borderId="0" xfId="0" applyFont="1"/>
    <xf numFmtId="0" fontId="12" fillId="0" borderId="0" xfId="0" applyFont="1"/>
    <xf numFmtId="0" fontId="5" fillId="0" borderId="0" xfId="0" applyFont="1"/>
    <xf numFmtId="0" fontId="0" fillId="0" borderId="0" xfId="0" applyFont="1" applyAlignment="1">
      <alignment wrapText="1"/>
    </xf>
    <xf numFmtId="0" fontId="0" fillId="0" borderId="0" xfId="0" applyFont="1" applyBorder="1"/>
    <xf numFmtId="0" fontId="1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14" fillId="0" borderId="0" xfId="0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shrinkToFit="1"/>
    </xf>
    <xf numFmtId="0" fontId="2" fillId="0" borderId="0" xfId="0" applyNumberFormat="1" applyFont="1" applyFill="1" applyAlignment="1">
      <alignment horizontal="center" vertical="center" shrinkToFit="1"/>
    </xf>
    <xf numFmtId="0" fontId="2" fillId="0" borderId="0" xfId="0" applyNumberFormat="1" applyFont="1" applyFill="1" applyBorder="1" applyAlignment="1">
      <alignment horizontal="center" vertical="center" shrinkToFit="1"/>
    </xf>
    <xf numFmtId="49" fontId="15" fillId="0" borderId="0" xfId="0" applyNumberFormat="1" applyFont="1" applyFill="1" applyAlignment="1">
      <alignment horizontal="center" vertical="center" wrapText="1"/>
    </xf>
    <xf numFmtId="49" fontId="14" fillId="0" borderId="0" xfId="0" applyNumberFormat="1" applyFont="1" applyFill="1" applyAlignment="1">
      <alignment horizontal="center" vertical="center" wrapText="1"/>
    </xf>
    <xf numFmtId="49" fontId="16" fillId="0" borderId="0" xfId="0" applyNumberFormat="1" applyFont="1" applyFill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NumberFormat="1" applyFont="1" applyFill="1" applyBorder="1" applyAlignment="1">
      <alignment horizontal="center" vertical="center" shrinkToFit="1"/>
    </xf>
    <xf numFmtId="176" fontId="2" fillId="0" borderId="1" xfId="0" applyNumberFormat="1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shrinkToFit="1"/>
    </xf>
    <xf numFmtId="176" fontId="18" fillId="0" borderId="1" xfId="0" applyNumberFormat="1" applyFont="1" applyBorder="1" applyAlignment="1">
      <alignment horizontal="center" vertical="center" wrapText="1"/>
    </xf>
    <xf numFmtId="0" fontId="18" fillId="0" borderId="1" xfId="22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shrinkToFit="1"/>
    </xf>
    <xf numFmtId="0" fontId="20" fillId="0" borderId="1" xfId="0" applyFont="1" applyFill="1" applyBorder="1" applyAlignment="1">
      <alignment horizontal="center" vertical="center" shrinkToFit="1"/>
    </xf>
    <xf numFmtId="49" fontId="20" fillId="0" borderId="1" xfId="0" applyNumberFormat="1" applyFont="1" applyFill="1" applyBorder="1" applyAlignment="1">
      <alignment horizontal="center" vertical="center" shrinkToFit="1"/>
    </xf>
    <xf numFmtId="0" fontId="3" fillId="0" borderId="1" xfId="20" applyFont="1" applyFill="1" applyBorder="1" applyAlignment="1">
      <alignment horizontal="center" vertical="center" shrinkToFi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1" xfId="22" applyFont="1" applyFill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 wrapText="1"/>
    </xf>
    <xf numFmtId="0" fontId="18" fillId="0" borderId="1" xfId="59" applyNumberFormat="1" applyFont="1" applyFill="1" applyBorder="1" applyAlignment="1" applyProtection="1">
      <alignment horizontal="center" vertical="center" wrapText="1"/>
      <protection locked="0"/>
    </xf>
    <xf numFmtId="49" fontId="18" fillId="0" borderId="1" xfId="59" applyNumberFormat="1" applyFont="1" applyFill="1" applyBorder="1" applyAlignment="1" applyProtection="1">
      <alignment horizontal="center" vertical="center" wrapText="1" shrinkToFit="1"/>
      <protection locked="0"/>
    </xf>
    <xf numFmtId="0" fontId="18" fillId="0" borderId="1" xfId="22" applyNumberFormat="1" applyFont="1" applyFill="1" applyBorder="1" applyAlignment="1">
      <alignment horizontal="center" vertical="center"/>
    </xf>
    <xf numFmtId="0" fontId="18" fillId="0" borderId="1" xfId="64" applyNumberFormat="1" applyFont="1" applyFill="1" applyBorder="1" applyAlignment="1">
      <alignment horizontal="center" vertical="center" wrapText="1"/>
    </xf>
    <xf numFmtId="0" fontId="17" fillId="0" borderId="1" xfId="82" applyNumberFormat="1" applyFont="1" applyFill="1" applyBorder="1" applyAlignment="1">
      <alignment horizontal="center" vertical="center" shrinkToFit="1"/>
    </xf>
    <xf numFmtId="0" fontId="18" fillId="0" borderId="0" xfId="0" applyFont="1" applyFill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 wrapText="1"/>
    </xf>
    <xf numFmtId="0" fontId="20" fillId="0" borderId="1" xfId="82" applyNumberFormat="1" applyFont="1" applyFill="1" applyBorder="1" applyAlignment="1">
      <alignment horizontal="center" vertical="center" shrinkToFit="1"/>
    </xf>
    <xf numFmtId="0" fontId="20" fillId="0" borderId="1" xfId="82" applyFont="1" applyFill="1" applyBorder="1" applyAlignment="1">
      <alignment horizontal="center" vertical="center" shrinkToFit="1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shrinkToFit="1"/>
    </xf>
    <xf numFmtId="0" fontId="22" fillId="0" borderId="1" xfId="0" applyFont="1" applyFill="1" applyBorder="1" applyAlignment="1">
      <alignment horizontal="center" vertical="center" shrinkToFit="1"/>
    </xf>
    <xf numFmtId="0" fontId="2" fillId="0" borderId="1" xfId="22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shrinkToFit="1"/>
    </xf>
    <xf numFmtId="176" fontId="2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76" fontId="24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/>
    </xf>
    <xf numFmtId="177" fontId="18" fillId="0" borderId="1" xfId="22" applyNumberFormat="1" applyFont="1" applyFill="1" applyBorder="1" applyAlignment="1">
      <alignment horizontal="center" vertical="center" wrapText="1"/>
    </xf>
    <xf numFmtId="49" fontId="18" fillId="0" borderId="1" xfId="22" applyNumberFormat="1" applyFont="1" applyFill="1" applyBorder="1" applyAlignment="1">
      <alignment horizontal="center" vertical="center" wrapText="1"/>
    </xf>
    <xf numFmtId="0" fontId="18" fillId="0" borderId="1" xfId="22" applyFont="1" applyBorder="1" applyAlignment="1">
      <alignment horizontal="center" vertical="center"/>
    </xf>
    <xf numFmtId="49" fontId="24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shrinkToFit="1"/>
    </xf>
    <xf numFmtId="0" fontId="24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 shrinkToFit="1"/>
    </xf>
    <xf numFmtId="0" fontId="26" fillId="0" borderId="1" xfId="0" applyFont="1" applyFill="1" applyBorder="1" applyAlignment="1">
      <alignment horizontal="center" vertical="center" shrinkToFit="1"/>
    </xf>
    <xf numFmtId="0" fontId="20" fillId="0" borderId="1" xfId="0" applyNumberFormat="1" applyFont="1" applyFill="1" applyBorder="1" applyAlignment="1">
      <alignment horizontal="center" vertical="center" shrinkToFit="1"/>
    </xf>
    <xf numFmtId="0" fontId="27" fillId="0" borderId="1" xfId="0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shrinkToFit="1"/>
    </xf>
    <xf numFmtId="49" fontId="18" fillId="0" borderId="1" xfId="0" applyNumberFormat="1" applyFont="1" applyFill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0" fontId="17" fillId="0" borderId="1" xfId="0" applyNumberFormat="1" applyFont="1" applyFill="1" applyBorder="1" applyAlignment="1" applyProtection="1">
      <alignment horizontal="center" vertical="center" shrinkToFit="1"/>
    </xf>
    <xf numFmtId="0" fontId="20" fillId="0" borderId="1" xfId="0" applyNumberFormat="1" applyFont="1" applyFill="1" applyBorder="1" applyAlignment="1" applyProtection="1">
      <alignment horizontal="center" vertical="center" shrinkToFit="1"/>
    </xf>
    <xf numFmtId="49" fontId="21" fillId="0" borderId="1" xfId="0" applyNumberFormat="1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 shrinkToFit="1"/>
    </xf>
    <xf numFmtId="0" fontId="31" fillId="0" borderId="1" xfId="0" applyFont="1" applyFill="1" applyBorder="1" applyAlignment="1">
      <alignment horizontal="center" vertical="center"/>
    </xf>
    <xf numFmtId="177" fontId="20" fillId="0" borderId="1" xfId="0" applyNumberFormat="1" applyFont="1" applyFill="1" applyBorder="1" applyAlignment="1">
      <alignment horizontal="center" vertical="center" shrinkToFit="1"/>
    </xf>
    <xf numFmtId="0" fontId="32" fillId="0" borderId="1" xfId="0" applyFont="1" applyFill="1" applyBorder="1" applyAlignment="1">
      <alignment horizontal="center" vertical="center"/>
    </xf>
    <xf numFmtId="0" fontId="30" fillId="0" borderId="1" xfId="0" applyNumberFormat="1" applyFont="1" applyFill="1" applyBorder="1" applyAlignment="1">
      <alignment horizontal="center" vertical="center" shrinkToFit="1"/>
    </xf>
    <xf numFmtId="49" fontId="30" fillId="0" borderId="1" xfId="0" applyNumberFormat="1" applyFont="1" applyFill="1" applyBorder="1" applyAlignment="1">
      <alignment horizontal="center" vertical="center" shrinkToFit="1"/>
    </xf>
    <xf numFmtId="177" fontId="30" fillId="0" borderId="1" xfId="0" applyNumberFormat="1" applyFont="1" applyFill="1" applyBorder="1" applyAlignment="1">
      <alignment horizontal="center" vertical="center" shrinkToFit="1"/>
    </xf>
    <xf numFmtId="0" fontId="31" fillId="0" borderId="1" xfId="0" applyFont="1" applyFill="1" applyBorder="1" applyAlignment="1">
      <alignment horizontal="center" vertical="center" shrinkToFit="1"/>
    </xf>
    <xf numFmtId="0" fontId="21" fillId="0" borderId="1" xfId="0" applyNumberFormat="1" applyFont="1" applyFill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34" fillId="0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shrinkToFit="1"/>
    </xf>
    <xf numFmtId="0" fontId="1" fillId="0" borderId="0" xfId="0" applyNumberFormat="1" applyFont="1" applyFill="1" applyAlignment="1">
      <alignment horizontal="center" vertical="center" shrinkToFi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shrinkToFit="1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shrinkToFit="1"/>
    </xf>
    <xf numFmtId="0" fontId="1" fillId="0" borderId="0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4" fontId="1" fillId="0" borderId="1" xfId="2" applyNumberFormat="1" applyFont="1" applyFill="1" applyBorder="1" applyAlignment="1">
      <alignment horizontal="center" vertical="center" wrapText="1" shrinkToFit="1"/>
    </xf>
    <xf numFmtId="44" fontId="1" fillId="0" borderId="1" xfId="2" applyNumberFormat="1" applyFont="1" applyFill="1" applyBorder="1" applyAlignment="1">
      <alignment horizontal="center" vertical="center" shrinkToFit="1"/>
    </xf>
    <xf numFmtId="0" fontId="1" fillId="0" borderId="1" xfId="2" applyNumberFormat="1" applyFont="1" applyFill="1" applyBorder="1" applyAlignment="1">
      <alignment horizontal="center" vertical="center" shrinkToFit="1"/>
    </xf>
    <xf numFmtId="0" fontId="1" fillId="0" borderId="1" xfId="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31" fontId="1" fillId="0" borderId="0" xfId="0" applyNumberFormat="1" applyFont="1" applyFill="1" applyBorder="1" applyAlignment="1">
      <alignment horizontal="center" vertical="center" wrapText="1"/>
    </xf>
    <xf numFmtId="176" fontId="34" fillId="0" borderId="1" xfId="0" applyNumberFormat="1" applyFont="1" applyFill="1" applyBorder="1" applyAlignment="1">
      <alignment horizontal="center" vertical="center" wrapText="1"/>
    </xf>
    <xf numFmtId="0" fontId="38" fillId="0" borderId="1" xfId="0" applyFont="1" applyFill="1" applyBorder="1" applyAlignment="1" applyProtection="1">
      <alignment horizontal="center" vertical="center"/>
    </xf>
    <xf numFmtId="0" fontId="38" fillId="3" borderId="1" xfId="0" applyFont="1" applyFill="1" applyBorder="1" applyAlignment="1" applyProtection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0" borderId="1" xfId="0" applyNumberFormat="1" applyFont="1" applyFill="1" applyBorder="1" applyAlignment="1">
      <alignment horizontal="center" vertical="center" wrapText="1"/>
    </xf>
    <xf numFmtId="0" fontId="39" fillId="0" borderId="1" xfId="0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43" fillId="0" borderId="1" xfId="0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/>
    </xf>
    <xf numFmtId="0" fontId="43" fillId="0" borderId="5" xfId="0" applyFont="1" applyFill="1" applyBorder="1" applyAlignment="1">
      <alignment vertical="center" wrapText="1"/>
    </xf>
    <xf numFmtId="0" fontId="36" fillId="0" borderId="0" xfId="0" applyFont="1" applyFill="1" applyBorder="1" applyAlignment="1">
      <alignment horizontal="center" vertical="center" wrapText="1"/>
    </xf>
    <xf numFmtId="176" fontId="35" fillId="0" borderId="1" xfId="0" applyNumberFormat="1" applyFont="1" applyFill="1" applyBorder="1" applyAlignment="1">
      <alignment horizontal="center" vertical="center" wrapText="1"/>
    </xf>
  </cellXfs>
  <cellStyles count="83">
    <cellStyle name="常规" xfId="0" builtinId="0"/>
    <cellStyle name="货币[0]" xfId="1" builtinId="7"/>
    <cellStyle name="货币" xfId="2" builtinId="4"/>
    <cellStyle name="常规 2 2 4" xfId="3"/>
    <cellStyle name="20% - 强调文字颜色 3" xfId="4" builtinId="38"/>
    <cellStyle name="输入" xfId="5" builtinId="20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常规 10 4 2" xfId="13"/>
    <cellStyle name="已访问的超链接" xfId="14" builtinId="9"/>
    <cellStyle name="注释" xfId="15" builtinId="10"/>
    <cellStyle name="常规 6" xfId="16"/>
    <cellStyle name="60% - 强调文字颜色 2" xfId="17" builtinId="36"/>
    <cellStyle name="标题 4" xfId="18" builtinId="19"/>
    <cellStyle name="警告文本" xfId="19" builtinId="11"/>
    <cellStyle name="_ET_STYLE_NoName_00_" xfId="20"/>
    <cellStyle name="标题" xfId="21" builtinId="15"/>
    <cellStyle name="常规 12" xfId="22"/>
    <cellStyle name="s]_x000d__x000a_load=_x000d__x000a_run=_x000d__x000a_NullPort=None_x000d__x000a_device=HP LaserJet 4 Plus,HPPCL5MS,LPT1:_x000d__x000a__x000d__x000a_[Desktop]_x000d__x000a_Wallpaper=(无)_x000d__x000a_TileWallpaper=0_x000d_" xfId="23"/>
    <cellStyle name="解释性文本" xfId="24" builtinId="53"/>
    <cellStyle name="标题 1" xfId="25" builtinId="16"/>
    <cellStyle name="_ET_STYLE_NoName_00_ 2" xfId="26"/>
    <cellStyle name="标题 2" xfId="27" builtinId="17"/>
    <cellStyle name="60% - 强调文字颜色 1" xfId="28" builtinId="32"/>
    <cellStyle name="标题 3" xfId="29" builtinId="18"/>
    <cellStyle name="60% - 强调文字颜色 4" xfId="30" builtinId="44"/>
    <cellStyle name="输出" xfId="31" builtinId="21"/>
    <cellStyle name="计算" xfId="32" builtinId="22"/>
    <cellStyle name="检查单元格" xfId="33" builtinId="23"/>
    <cellStyle name="强调文字颜色 2" xfId="34" builtinId="33"/>
    <cellStyle name="样式 1 2 2" xfId="35"/>
    <cellStyle name="20% - 强调文字颜色 6" xfId="36" builtinId="50"/>
    <cellStyle name="链接单元格" xfId="37" builtinId="24"/>
    <cellStyle name="汇总" xfId="38" builtinId="25"/>
    <cellStyle name="好" xfId="39" builtinId="26"/>
    <cellStyle name="适中" xfId="40" builtinId="28"/>
    <cellStyle name="20% - 强调文字颜色 5" xfId="41" builtinId="46"/>
    <cellStyle name="常规 8 2" xfId="42"/>
    <cellStyle name="强调文字颜色 1" xfId="43" builtinId="29"/>
    <cellStyle name="20% - 强调文字颜色 1" xfId="44" builtinId="30"/>
    <cellStyle name="40% - 强调文字颜色 1" xfId="45" builtinId="31"/>
    <cellStyle name="20% - 强调文字颜色 2" xfId="46" builtinId="34"/>
    <cellStyle name="40% - 强调文字颜色 2" xfId="47" builtinId="35"/>
    <cellStyle name="强调文字颜色 3" xfId="48" builtinId="37"/>
    <cellStyle name="强调文字颜色 4" xfId="49" builtinId="41"/>
    <cellStyle name="20% - 强调文字颜色 4" xfId="50" builtinId="42"/>
    <cellStyle name="40% - 强调文字颜色 4" xfId="51" builtinId="43"/>
    <cellStyle name="强调文字颜色 5" xfId="52" builtinId="45"/>
    <cellStyle name="常规 2 2" xfId="53"/>
    <cellStyle name="40% - 强调文字颜色 5" xfId="54" builtinId="47"/>
    <cellStyle name="60% - 强调文字颜色 5" xfId="55" builtinId="48"/>
    <cellStyle name="强调文字颜色 6" xfId="56" builtinId="49"/>
    <cellStyle name="常规 10" xfId="57"/>
    <cellStyle name="40% - 强调文字颜色 6" xfId="58" builtinId="51"/>
    <cellStyle name="常规 2 10" xfId="59"/>
    <cellStyle name="60% - 强调文字颜色 6" xfId="60" builtinId="52"/>
    <cellStyle name="_ET_STYLE_NoName_00_ 2 4" xfId="61"/>
    <cellStyle name="60% - 强调文字颜色 6 2 13 2" xfId="62"/>
    <cellStyle name="常规 13" xfId="63"/>
    <cellStyle name="常规 14" xfId="64"/>
    <cellStyle name="常规 2" xfId="65"/>
    <cellStyle name="常规 2 2_附件2非正常出勤人员汇总表" xfId="66"/>
    <cellStyle name="常规 3_附件2非正常出勤人员汇总表" xfId="67"/>
    <cellStyle name="常规 2 3 2 2" xfId="68"/>
    <cellStyle name="常规 2 4" xfId="69"/>
    <cellStyle name="常规 2_附件2非正常出勤人员汇总表" xfId="70"/>
    <cellStyle name="常规 3" xfId="71"/>
    <cellStyle name="常规 3 2" xfId="72"/>
    <cellStyle name="常规 3 2 2" xfId="73"/>
    <cellStyle name="常规 3 2 2 2 2 2" xfId="74"/>
    <cellStyle name="常规 3 2_附件2非正常出勤人员汇总表" xfId="75"/>
    <cellStyle name="常规 4" xfId="76"/>
    <cellStyle name="常规 5" xfId="77"/>
    <cellStyle name="常规 7" xfId="78"/>
    <cellStyle name="常规 9" xfId="79"/>
    <cellStyle name="超链接 4" xfId="80"/>
    <cellStyle name="货币 2" xfId="81"/>
    <cellStyle name="样式 1" xfId="82"/>
  </cellStyles>
  <dxfs count="6">
    <dxf>
      <fill>
        <patternFill patternType="solid">
          <bgColor theme="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7" tint="-0.249977111117893"/>
        </patternFill>
      </fill>
    </dxf>
  </dxfs>
  <tableStyles count="0" defaultTableStyle="TableStyleMedium2"/>
  <colors>
    <mruColors>
      <color rgb="0000B050"/>
      <color rgb="001408B8"/>
      <color rgb="001115B5"/>
      <color rgb="007030A0"/>
      <color rgb="000070C0"/>
      <color rgb="00C00000"/>
      <color rgb="00BC8E0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S488"/>
  <sheetViews>
    <sheetView tabSelected="1" zoomScale="156" zoomScaleNormal="156" workbookViewId="0">
      <pane ySplit="5" topLeftCell="A74" activePane="bottomLeft" state="frozen"/>
      <selection/>
      <selection pane="bottomLeft" activeCell="X131" sqref="X131"/>
    </sheetView>
  </sheetViews>
  <sheetFormatPr defaultColWidth="9" defaultRowHeight="9.75"/>
  <cols>
    <col min="1" max="1" width="2.125" style="138" customWidth="1"/>
    <col min="2" max="2" width="9.625" style="139" customWidth="1"/>
    <col min="3" max="3" width="5.45833333333333" style="139" customWidth="1"/>
    <col min="4" max="4" width="4.625" style="140" customWidth="1"/>
    <col min="5" max="5" width="5.125" style="140" customWidth="1"/>
    <col min="6" max="6" width="3.5" style="135" customWidth="1"/>
    <col min="7" max="39" width="1.875" style="135" customWidth="1"/>
    <col min="40" max="51" width="2.125" style="135" customWidth="1"/>
    <col min="52" max="52" width="2.625" style="135" customWidth="1"/>
    <col min="53" max="53" width="15.5833333333333" style="141" customWidth="1"/>
    <col min="54" max="54" width="3.25" style="135" customWidth="1"/>
    <col min="55" max="55" width="2.625" style="135" customWidth="1"/>
    <col min="56" max="56" width="2" style="135" customWidth="1"/>
    <col min="57" max="241" width="9" style="135"/>
    <col min="242" max="16384" width="9" style="142"/>
  </cols>
  <sheetData>
    <row r="1" s="135" customFormat="1" spans="1:248">
      <c r="A1" s="138"/>
      <c r="B1" s="139"/>
      <c r="C1" s="139"/>
      <c r="D1" s="140"/>
      <c r="E1" s="140"/>
      <c r="BA1" s="141"/>
      <c r="IH1" s="142"/>
      <c r="II1" s="142"/>
      <c r="IJ1" s="142"/>
      <c r="IK1" s="142"/>
      <c r="IL1" s="142"/>
      <c r="IM1" s="142"/>
      <c r="IN1" s="142"/>
    </row>
    <row r="2" s="135" customFormat="1" ht="12" customHeight="1" spans="1:248">
      <c r="A2" s="143" t="s">
        <v>0</v>
      </c>
      <c r="B2" s="144"/>
      <c r="C2" s="144"/>
      <c r="D2" s="140"/>
      <c r="E2" s="139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41"/>
      <c r="IH2" s="142"/>
      <c r="II2" s="142"/>
      <c r="IJ2" s="142"/>
      <c r="IK2" s="142"/>
      <c r="IL2" s="142"/>
      <c r="IM2" s="142"/>
      <c r="IN2" s="142"/>
    </row>
    <row r="3" ht="17.1" customHeight="1" spans="1:52">
      <c r="A3" s="145" t="s">
        <v>1</v>
      </c>
      <c r="B3" s="146"/>
      <c r="C3" s="146"/>
      <c r="D3" s="147"/>
      <c r="E3" s="146"/>
      <c r="F3" s="148"/>
      <c r="G3" s="148"/>
      <c r="H3" s="148"/>
      <c r="I3" s="148"/>
      <c r="J3" s="148"/>
      <c r="K3" s="148"/>
      <c r="L3" s="148" t="s">
        <v>2</v>
      </c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 t="s">
        <v>3</v>
      </c>
      <c r="AA3" s="148"/>
      <c r="AB3" s="148"/>
      <c r="AC3" s="148"/>
      <c r="AD3" s="148"/>
      <c r="AE3" s="148"/>
      <c r="AF3" s="148"/>
      <c r="AG3" s="148" t="s">
        <v>4</v>
      </c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70">
        <v>45566</v>
      </c>
      <c r="AS3" s="170"/>
      <c r="AT3" s="170"/>
      <c r="AU3" s="170"/>
      <c r="AV3" s="170"/>
      <c r="AW3" s="170"/>
      <c r="AX3" s="170"/>
      <c r="AY3" s="170"/>
      <c r="AZ3" s="170"/>
    </row>
    <row r="4" s="135" customFormat="1" ht="12" customHeight="1" spans="1:248">
      <c r="A4" s="149" t="s">
        <v>5</v>
      </c>
      <c r="B4" s="150" t="s">
        <v>6</v>
      </c>
      <c r="C4" s="151" t="s">
        <v>7</v>
      </c>
      <c r="D4" s="152" t="s">
        <v>8</v>
      </c>
      <c r="E4" s="153" t="s">
        <v>9</v>
      </c>
      <c r="F4" s="154" t="s">
        <v>10</v>
      </c>
      <c r="G4" s="155" t="s">
        <v>11</v>
      </c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4" t="s">
        <v>12</v>
      </c>
      <c r="AM4" s="154" t="s">
        <v>13</v>
      </c>
      <c r="AN4" s="154" t="s">
        <v>14</v>
      </c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41"/>
      <c r="IH4" s="142"/>
      <c r="II4" s="142"/>
      <c r="IJ4" s="142"/>
      <c r="IK4" s="142"/>
      <c r="IL4" s="142"/>
      <c r="IM4" s="142"/>
      <c r="IN4" s="142"/>
    </row>
    <row r="5" s="135" customFormat="1" ht="19.5" spans="1:248">
      <c r="A5" s="149"/>
      <c r="B5" s="151"/>
      <c r="C5" s="151"/>
      <c r="D5" s="152"/>
      <c r="E5" s="153"/>
      <c r="F5" s="154"/>
      <c r="G5" s="154">
        <v>1</v>
      </c>
      <c r="H5" s="154">
        <v>2</v>
      </c>
      <c r="I5" s="154">
        <v>3</v>
      </c>
      <c r="J5" s="154">
        <v>4</v>
      </c>
      <c r="K5" s="154">
        <v>5</v>
      </c>
      <c r="L5" s="154">
        <v>6</v>
      </c>
      <c r="M5" s="154">
        <v>7</v>
      </c>
      <c r="N5" s="154">
        <v>8</v>
      </c>
      <c r="O5" s="154">
        <v>9</v>
      </c>
      <c r="P5" s="154">
        <v>10</v>
      </c>
      <c r="Q5" s="154">
        <v>11</v>
      </c>
      <c r="R5" s="154">
        <v>12</v>
      </c>
      <c r="S5" s="154">
        <v>13</v>
      </c>
      <c r="T5" s="154">
        <v>14</v>
      </c>
      <c r="U5" s="154">
        <v>15</v>
      </c>
      <c r="V5" s="154">
        <v>16</v>
      </c>
      <c r="W5" s="154">
        <v>17</v>
      </c>
      <c r="X5" s="154">
        <v>18</v>
      </c>
      <c r="Y5" s="154">
        <v>19</v>
      </c>
      <c r="Z5" s="154">
        <v>20</v>
      </c>
      <c r="AA5" s="154">
        <v>21</v>
      </c>
      <c r="AB5" s="154">
        <v>22</v>
      </c>
      <c r="AC5" s="154">
        <v>23</v>
      </c>
      <c r="AD5" s="154">
        <v>24</v>
      </c>
      <c r="AE5" s="154">
        <v>25</v>
      </c>
      <c r="AF5" s="154">
        <v>26</v>
      </c>
      <c r="AG5" s="154">
        <v>27</v>
      </c>
      <c r="AH5" s="154">
        <v>28</v>
      </c>
      <c r="AI5" s="154">
        <v>29</v>
      </c>
      <c r="AJ5" s="154">
        <v>30</v>
      </c>
      <c r="AK5" s="154">
        <v>31</v>
      </c>
      <c r="AL5" s="154"/>
      <c r="AM5" s="154"/>
      <c r="AN5" s="154" t="s">
        <v>15</v>
      </c>
      <c r="AO5" s="154" t="s">
        <v>16</v>
      </c>
      <c r="AP5" s="154" t="s">
        <v>17</v>
      </c>
      <c r="AQ5" s="154" t="s">
        <v>18</v>
      </c>
      <c r="AR5" s="154" t="s">
        <v>19</v>
      </c>
      <c r="AS5" s="154" t="s">
        <v>20</v>
      </c>
      <c r="AT5" s="154" t="s">
        <v>21</v>
      </c>
      <c r="AU5" s="154" t="s">
        <v>22</v>
      </c>
      <c r="AV5" s="154" t="s">
        <v>23</v>
      </c>
      <c r="AW5" s="154" t="s">
        <v>24</v>
      </c>
      <c r="AX5" s="154" t="s">
        <v>25</v>
      </c>
      <c r="AY5" s="154" t="s">
        <v>26</v>
      </c>
      <c r="AZ5" s="154" t="s">
        <v>27</v>
      </c>
      <c r="BA5" s="141"/>
      <c r="IH5" s="142"/>
      <c r="II5" s="142"/>
      <c r="IJ5" s="142"/>
      <c r="IK5" s="142"/>
      <c r="IL5" s="142"/>
      <c r="IM5" s="142"/>
      <c r="IN5" s="142"/>
    </row>
    <row r="6" s="135" customFormat="1" ht="12.95" customHeight="1" spans="1:248">
      <c r="A6" s="157">
        <f>ROW()-5</f>
        <v>1</v>
      </c>
      <c r="B6" s="158" t="s">
        <v>28</v>
      </c>
      <c r="C6" s="1">
        <v>7642811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34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  <c r="AF6" s="1" t="s">
        <v>34</v>
      </c>
      <c r="AG6" s="1" t="s">
        <v>33</v>
      </c>
      <c r="AH6" s="1" t="s">
        <v>33</v>
      </c>
      <c r="AI6" s="1" t="s">
        <v>33</v>
      </c>
      <c r="AJ6" s="1" t="s">
        <v>33</v>
      </c>
      <c r="AK6" s="1" t="s">
        <v>33</v>
      </c>
      <c r="AL6" s="1">
        <v>29</v>
      </c>
      <c r="AM6" s="1">
        <v>29</v>
      </c>
      <c r="AN6" s="168">
        <f>COUNTIF(G6:AK6,"病")</f>
        <v>0</v>
      </c>
      <c r="AO6" s="168">
        <f>COUNTIF(G6:AK6,"事")</f>
        <v>0</v>
      </c>
      <c r="AP6" s="168">
        <f>COUNTIF(G6:AK6,"探")</f>
        <v>0</v>
      </c>
      <c r="AQ6" s="168">
        <f>COUNTIF(G6:AK6,"年")</f>
        <v>0</v>
      </c>
      <c r="AR6" s="168"/>
      <c r="AS6" s="168">
        <f>COUNTIF(G6:AK6,"伤")</f>
        <v>0</v>
      </c>
      <c r="AT6" s="168"/>
      <c r="AU6" s="168"/>
      <c r="AV6" s="168"/>
      <c r="AW6" s="168">
        <f>COUNTIF(G6:AK6,"康")</f>
        <v>0</v>
      </c>
      <c r="AX6" s="168"/>
      <c r="AY6" s="168"/>
      <c r="AZ6" s="168">
        <f>SUM(AN6:AY6)-AW6</f>
        <v>0</v>
      </c>
      <c r="BA6" s="1"/>
      <c r="IH6" s="142"/>
      <c r="II6" s="142"/>
      <c r="IJ6" s="142"/>
      <c r="IK6" s="142"/>
      <c r="IL6" s="142"/>
      <c r="IM6" s="142"/>
      <c r="IN6" s="142"/>
    </row>
    <row r="7" s="135" customFormat="1" ht="12.95" customHeight="1" spans="1:248">
      <c r="A7" s="157">
        <f t="shared" ref="A7:A16" si="0">ROW()-5</f>
        <v>2</v>
      </c>
      <c r="B7" s="158" t="s">
        <v>28</v>
      </c>
      <c r="C7" s="1">
        <v>7642786</v>
      </c>
      <c r="D7" s="1" t="s">
        <v>35</v>
      </c>
      <c r="E7" s="1" t="s">
        <v>36</v>
      </c>
      <c r="F7" s="1" t="s">
        <v>31</v>
      </c>
      <c r="G7" s="1" t="s">
        <v>33</v>
      </c>
      <c r="H7" s="1" t="s">
        <v>32</v>
      </c>
      <c r="I7" s="1" t="s">
        <v>32</v>
      </c>
      <c r="J7" s="1" t="s">
        <v>32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34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34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  <c r="AF7" s="1" t="s">
        <v>33</v>
      </c>
      <c r="AG7" s="1" t="s">
        <v>34</v>
      </c>
      <c r="AH7" s="1" t="s">
        <v>33</v>
      </c>
      <c r="AI7" s="1" t="s">
        <v>33</v>
      </c>
      <c r="AJ7" s="1" t="s">
        <v>33</v>
      </c>
      <c r="AK7" s="1" t="s">
        <v>33</v>
      </c>
      <c r="AL7" s="1">
        <v>28</v>
      </c>
      <c r="AM7" s="1">
        <v>28</v>
      </c>
      <c r="AN7" s="168">
        <f t="shared" ref="AN7:AN38" si="1">COUNTIF(G7:AK7,"病")</f>
        <v>0</v>
      </c>
      <c r="AO7" s="168">
        <f t="shared" ref="AO7:AO38" si="2">COUNTIF(G7:AK7,"事")</f>
        <v>0</v>
      </c>
      <c r="AP7" s="168">
        <f t="shared" ref="AP7:AP38" si="3">COUNTIF(G7:AK7,"探")</f>
        <v>0</v>
      </c>
      <c r="AQ7" s="168">
        <f t="shared" ref="AQ7:AQ38" si="4">COUNTIF(G7:AK7,"年")</f>
        <v>0</v>
      </c>
      <c r="AR7" s="168"/>
      <c r="AS7" s="168">
        <f t="shared" ref="AS7:AS38" si="5">COUNTIF(G7:AK7,"伤")</f>
        <v>0</v>
      </c>
      <c r="AT7" s="168"/>
      <c r="AU7" s="168"/>
      <c r="AV7" s="168"/>
      <c r="AW7" s="168">
        <f t="shared" ref="AW7:AW38" si="6">COUNTIF(G7:AK7,"康")</f>
        <v>0</v>
      </c>
      <c r="AX7" s="168"/>
      <c r="AY7" s="168"/>
      <c r="AZ7" s="168">
        <f t="shared" ref="AZ7:AZ38" si="7">SUM(AN7:AY7)-AW7</f>
        <v>0</v>
      </c>
      <c r="BA7" s="1"/>
      <c r="IH7" s="142"/>
      <c r="II7" s="142"/>
      <c r="IJ7" s="142"/>
      <c r="IK7" s="142"/>
      <c r="IL7" s="142"/>
      <c r="IM7" s="142"/>
      <c r="IN7" s="142"/>
    </row>
    <row r="8" s="135" customFormat="1" ht="12.95" customHeight="1" spans="1:248">
      <c r="A8" s="157">
        <f t="shared" si="0"/>
        <v>3</v>
      </c>
      <c r="B8" s="158" t="s">
        <v>37</v>
      </c>
      <c r="C8" s="1">
        <v>7610684</v>
      </c>
      <c r="D8" s="1" t="s">
        <v>38</v>
      </c>
      <c r="E8" s="158" t="s">
        <v>39</v>
      </c>
      <c r="F8" s="1" t="s">
        <v>31</v>
      </c>
      <c r="G8" s="1" t="s">
        <v>32</v>
      </c>
      <c r="H8" s="1" t="s">
        <v>32</v>
      </c>
      <c r="I8" s="1" t="s">
        <v>32</v>
      </c>
      <c r="J8" s="1" t="s">
        <v>32</v>
      </c>
      <c r="K8" s="1" t="s">
        <v>34</v>
      </c>
      <c r="L8" s="1" t="s">
        <v>32</v>
      </c>
      <c r="M8" s="1" t="s">
        <v>34</v>
      </c>
      <c r="N8" s="1" t="s">
        <v>40</v>
      </c>
      <c r="O8" s="1" t="s">
        <v>32</v>
      </c>
      <c r="P8" s="1" t="s">
        <v>40</v>
      </c>
      <c r="Q8" s="1" t="s">
        <v>34</v>
      </c>
      <c r="R8" s="1" t="s">
        <v>32</v>
      </c>
      <c r="S8" s="1" t="s">
        <v>34</v>
      </c>
      <c r="T8" s="1" t="s">
        <v>32</v>
      </c>
      <c r="U8" s="1" t="s">
        <v>34</v>
      </c>
      <c r="V8" s="1" t="s">
        <v>32</v>
      </c>
      <c r="W8" s="1" t="s">
        <v>32</v>
      </c>
      <c r="X8" s="1" t="s">
        <v>32</v>
      </c>
      <c r="Y8" s="1" t="s">
        <v>34</v>
      </c>
      <c r="Z8" s="1" t="s">
        <v>32</v>
      </c>
      <c r="AA8" s="1" t="s">
        <v>34</v>
      </c>
      <c r="AB8" s="1" t="s">
        <v>32</v>
      </c>
      <c r="AC8" s="1" t="s">
        <v>34</v>
      </c>
      <c r="AD8" s="1" t="s">
        <v>32</v>
      </c>
      <c r="AE8" s="1" t="s">
        <v>34</v>
      </c>
      <c r="AF8" s="1" t="s">
        <v>40</v>
      </c>
      <c r="AG8" s="1" t="s">
        <v>32</v>
      </c>
      <c r="AH8" s="1" t="s">
        <v>34</v>
      </c>
      <c r="AI8" s="1" t="s">
        <v>32</v>
      </c>
      <c r="AJ8" s="1" t="s">
        <v>32</v>
      </c>
      <c r="AK8" s="1" t="s">
        <v>34</v>
      </c>
      <c r="AL8" s="1">
        <v>20</v>
      </c>
      <c r="AM8" s="1">
        <v>20</v>
      </c>
      <c r="AN8" s="168">
        <f t="shared" si="1"/>
        <v>0</v>
      </c>
      <c r="AO8" s="168">
        <f t="shared" si="2"/>
        <v>0</v>
      </c>
      <c r="AP8" s="168">
        <f t="shared" si="3"/>
        <v>0</v>
      </c>
      <c r="AQ8" s="168">
        <f t="shared" si="4"/>
        <v>0</v>
      </c>
      <c r="AR8" s="168"/>
      <c r="AS8" s="168">
        <f t="shared" si="5"/>
        <v>0</v>
      </c>
      <c r="AT8" s="168"/>
      <c r="AU8" s="168"/>
      <c r="AV8" s="168"/>
      <c r="AW8" s="168">
        <f t="shared" si="6"/>
        <v>0</v>
      </c>
      <c r="AX8" s="168"/>
      <c r="AY8" s="168"/>
      <c r="AZ8" s="168">
        <f t="shared" si="7"/>
        <v>0</v>
      </c>
      <c r="BA8" s="1"/>
      <c r="IH8" s="142"/>
      <c r="II8" s="142"/>
      <c r="IJ8" s="142"/>
      <c r="IK8" s="142"/>
      <c r="IL8" s="142"/>
      <c r="IM8" s="142"/>
      <c r="IN8" s="142"/>
    </row>
    <row r="9" s="136" customFormat="1" ht="12.95" customHeight="1" spans="1:248">
      <c r="A9" s="157">
        <f t="shared" si="0"/>
        <v>4</v>
      </c>
      <c r="B9" s="158" t="s">
        <v>41</v>
      </c>
      <c r="C9" s="1">
        <v>7610564</v>
      </c>
      <c r="D9" s="1" t="s">
        <v>42</v>
      </c>
      <c r="E9" s="1" t="s">
        <v>39</v>
      </c>
      <c r="F9" s="1" t="s">
        <v>31</v>
      </c>
      <c r="G9" s="1" t="s">
        <v>33</v>
      </c>
      <c r="H9" s="1" t="s">
        <v>33</v>
      </c>
      <c r="I9" s="1" t="s">
        <v>33</v>
      </c>
      <c r="J9" s="1" t="s">
        <v>33</v>
      </c>
      <c r="K9" s="1" t="s">
        <v>33</v>
      </c>
      <c r="L9" s="1" t="s">
        <v>33</v>
      </c>
      <c r="M9" s="1" t="s">
        <v>32</v>
      </c>
      <c r="N9" s="1" t="s">
        <v>34</v>
      </c>
      <c r="O9" s="1" t="s">
        <v>32</v>
      </c>
      <c r="P9" s="1" t="s">
        <v>32</v>
      </c>
      <c r="Q9" s="1" t="s">
        <v>32</v>
      </c>
      <c r="R9" s="1" t="s">
        <v>32</v>
      </c>
      <c r="S9" s="1" t="s">
        <v>32</v>
      </c>
      <c r="T9" s="1" t="s">
        <v>34</v>
      </c>
      <c r="U9" s="1" t="s">
        <v>43</v>
      </c>
      <c r="V9" s="1" t="s">
        <v>43</v>
      </c>
      <c r="W9" s="1" t="s">
        <v>43</v>
      </c>
      <c r="X9" s="1" t="s">
        <v>43</v>
      </c>
      <c r="Y9" s="1" t="s">
        <v>43</v>
      </c>
      <c r="Z9" s="1" t="s">
        <v>43</v>
      </c>
      <c r="AA9" s="1" t="s">
        <v>43</v>
      </c>
      <c r="AB9" s="1" t="s">
        <v>32</v>
      </c>
      <c r="AC9" s="1" t="s">
        <v>32</v>
      </c>
      <c r="AD9" s="1" t="s">
        <v>32</v>
      </c>
      <c r="AE9" s="1" t="s">
        <v>34</v>
      </c>
      <c r="AF9" s="1" t="s">
        <v>32</v>
      </c>
      <c r="AG9" s="1" t="s">
        <v>34</v>
      </c>
      <c r="AH9" s="1" t="s">
        <v>34</v>
      </c>
      <c r="AI9" s="1" t="s">
        <v>40</v>
      </c>
      <c r="AJ9" s="1" t="s">
        <v>34</v>
      </c>
      <c r="AK9" s="1" t="s">
        <v>40</v>
      </c>
      <c r="AL9" s="1">
        <v>25</v>
      </c>
      <c r="AM9" s="1">
        <v>25</v>
      </c>
      <c r="AN9" s="168">
        <f t="shared" si="1"/>
        <v>0</v>
      </c>
      <c r="AO9" s="168">
        <f t="shared" si="2"/>
        <v>0</v>
      </c>
      <c r="AP9" s="168">
        <f t="shared" si="3"/>
        <v>0</v>
      </c>
      <c r="AQ9" s="168">
        <f t="shared" si="4"/>
        <v>0</v>
      </c>
      <c r="AR9" s="171"/>
      <c r="AS9" s="168">
        <f t="shared" si="5"/>
        <v>0</v>
      </c>
      <c r="AT9" s="171"/>
      <c r="AU9" s="171"/>
      <c r="AV9" s="171"/>
      <c r="AW9" s="168">
        <f t="shared" si="6"/>
        <v>0</v>
      </c>
      <c r="AX9" s="171"/>
      <c r="AY9" s="171"/>
      <c r="AZ9" s="168">
        <f t="shared" si="7"/>
        <v>0</v>
      </c>
      <c r="BA9" s="1"/>
      <c r="BB9" s="135"/>
      <c r="IH9" s="174"/>
      <c r="II9" s="174"/>
      <c r="IJ9" s="174"/>
      <c r="IK9" s="174"/>
      <c r="IL9" s="174"/>
      <c r="IM9" s="174"/>
      <c r="IN9" s="174"/>
    </row>
    <row r="10" s="136" customFormat="1" ht="12.95" customHeight="1" spans="1:248">
      <c r="A10" s="157">
        <f t="shared" si="0"/>
        <v>5</v>
      </c>
      <c r="B10" s="158" t="s">
        <v>44</v>
      </c>
      <c r="C10" s="159">
        <v>7610826</v>
      </c>
      <c r="D10" s="1" t="s">
        <v>45</v>
      </c>
      <c r="E10" s="1" t="s">
        <v>39</v>
      </c>
      <c r="F10" s="1" t="s">
        <v>31</v>
      </c>
      <c r="G10" s="1" t="s">
        <v>32</v>
      </c>
      <c r="H10" s="1" t="s">
        <v>40</v>
      </c>
      <c r="I10" s="1" t="s">
        <v>32</v>
      </c>
      <c r="J10" s="1" t="s">
        <v>34</v>
      </c>
      <c r="K10" s="1" t="s">
        <v>32</v>
      </c>
      <c r="L10" s="1" t="s">
        <v>32</v>
      </c>
      <c r="M10" s="1" t="s">
        <v>34</v>
      </c>
      <c r="N10" s="1" t="s">
        <v>32</v>
      </c>
      <c r="O10" s="1" t="s">
        <v>34</v>
      </c>
      <c r="P10" s="1" t="s">
        <v>32</v>
      </c>
      <c r="Q10" s="1" t="s">
        <v>32</v>
      </c>
      <c r="R10" s="1" t="s">
        <v>32</v>
      </c>
      <c r="S10" s="1" t="s">
        <v>34</v>
      </c>
      <c r="T10" s="1" t="s">
        <v>32</v>
      </c>
      <c r="U10" s="1" t="s">
        <v>34</v>
      </c>
      <c r="V10" s="1" t="s">
        <v>40</v>
      </c>
      <c r="W10" s="1" t="s">
        <v>34</v>
      </c>
      <c r="X10" s="1" t="s">
        <v>32</v>
      </c>
      <c r="Y10" s="1" t="s">
        <v>34</v>
      </c>
      <c r="Z10" s="1" t="s">
        <v>32</v>
      </c>
      <c r="AA10" s="1" t="s">
        <v>34</v>
      </c>
      <c r="AB10" s="1" t="s">
        <v>40</v>
      </c>
      <c r="AC10" s="1" t="s">
        <v>32</v>
      </c>
      <c r="AD10" s="1" t="s">
        <v>34</v>
      </c>
      <c r="AE10" s="1" t="s">
        <v>32</v>
      </c>
      <c r="AF10" s="1" t="s">
        <v>34</v>
      </c>
      <c r="AG10" s="1" t="s">
        <v>40</v>
      </c>
      <c r="AH10" s="1" t="s">
        <v>34</v>
      </c>
      <c r="AI10" s="1" t="s">
        <v>32</v>
      </c>
      <c r="AJ10" s="1" t="s">
        <v>34</v>
      </c>
      <c r="AK10" s="1" t="s">
        <v>32</v>
      </c>
      <c r="AL10" s="1">
        <v>19</v>
      </c>
      <c r="AM10" s="1">
        <v>19</v>
      </c>
      <c r="AN10" s="168">
        <f t="shared" si="1"/>
        <v>0</v>
      </c>
      <c r="AO10" s="168">
        <f t="shared" si="2"/>
        <v>0</v>
      </c>
      <c r="AP10" s="168">
        <f t="shared" si="3"/>
        <v>0</v>
      </c>
      <c r="AQ10" s="168">
        <f t="shared" si="4"/>
        <v>0</v>
      </c>
      <c r="AR10" s="171"/>
      <c r="AS10" s="168">
        <f t="shared" si="5"/>
        <v>0</v>
      </c>
      <c r="AT10" s="171"/>
      <c r="AU10" s="171"/>
      <c r="AV10" s="171"/>
      <c r="AW10" s="168">
        <f t="shared" si="6"/>
        <v>0</v>
      </c>
      <c r="AX10" s="171"/>
      <c r="AY10" s="171"/>
      <c r="AZ10" s="168">
        <f t="shared" si="7"/>
        <v>0</v>
      </c>
      <c r="BA10" s="1"/>
      <c r="BB10" s="135"/>
      <c r="IH10" s="174"/>
      <c r="II10" s="174"/>
      <c r="IJ10" s="174"/>
      <c r="IK10" s="174"/>
      <c r="IL10" s="174"/>
      <c r="IM10" s="174"/>
      <c r="IN10" s="174"/>
    </row>
    <row r="11" s="136" customFormat="1" ht="12.95" customHeight="1" spans="1:248">
      <c r="A11" s="157">
        <f t="shared" si="0"/>
        <v>6</v>
      </c>
      <c r="B11" s="158" t="s">
        <v>46</v>
      </c>
      <c r="C11" s="1">
        <v>7610787</v>
      </c>
      <c r="D11" s="1" t="s">
        <v>47</v>
      </c>
      <c r="E11" s="1" t="s">
        <v>39</v>
      </c>
      <c r="F11" s="1" t="s">
        <v>31</v>
      </c>
      <c r="G11" s="1" t="s">
        <v>32</v>
      </c>
      <c r="H11" s="1" t="s">
        <v>32</v>
      </c>
      <c r="I11" s="1" t="s">
        <v>34</v>
      </c>
      <c r="J11" s="1" t="s">
        <v>32</v>
      </c>
      <c r="K11" s="1" t="s">
        <v>34</v>
      </c>
      <c r="L11" s="1" t="s">
        <v>32</v>
      </c>
      <c r="M11" s="1" t="s">
        <v>34</v>
      </c>
      <c r="N11" s="1" t="s">
        <v>40</v>
      </c>
      <c r="O11" s="1" t="s">
        <v>32</v>
      </c>
      <c r="P11" s="1" t="s">
        <v>32</v>
      </c>
      <c r="Q11" s="1" t="s">
        <v>34</v>
      </c>
      <c r="R11" s="1" t="s">
        <v>40</v>
      </c>
      <c r="S11" s="1" t="s">
        <v>32</v>
      </c>
      <c r="T11" s="1" t="s">
        <v>32</v>
      </c>
      <c r="U11" s="1" t="s">
        <v>34</v>
      </c>
      <c r="V11" s="1" t="s">
        <v>40</v>
      </c>
      <c r="W11" s="1" t="s">
        <v>34</v>
      </c>
      <c r="X11" s="1" t="s">
        <v>32</v>
      </c>
      <c r="Y11" s="1" t="s">
        <v>34</v>
      </c>
      <c r="Z11" s="1" t="s">
        <v>40</v>
      </c>
      <c r="AA11" s="1" t="s">
        <v>32</v>
      </c>
      <c r="AB11" s="1" t="s">
        <v>34</v>
      </c>
      <c r="AC11" s="1" t="s">
        <v>32</v>
      </c>
      <c r="AD11" s="1" t="s">
        <v>34</v>
      </c>
      <c r="AE11" s="1" t="s">
        <v>34</v>
      </c>
      <c r="AF11" s="1" t="s">
        <v>32</v>
      </c>
      <c r="AG11" s="1" t="s">
        <v>34</v>
      </c>
      <c r="AH11" s="1" t="s">
        <v>40</v>
      </c>
      <c r="AI11" s="1" t="s">
        <v>34</v>
      </c>
      <c r="AJ11" s="1" t="s">
        <v>32</v>
      </c>
      <c r="AK11" s="1" t="s">
        <v>40</v>
      </c>
      <c r="AL11" s="1">
        <v>19</v>
      </c>
      <c r="AM11" s="1">
        <v>19</v>
      </c>
      <c r="AN11" s="168">
        <f t="shared" si="1"/>
        <v>0</v>
      </c>
      <c r="AO11" s="168">
        <f t="shared" si="2"/>
        <v>0</v>
      </c>
      <c r="AP11" s="168">
        <f t="shared" si="3"/>
        <v>0</v>
      </c>
      <c r="AQ11" s="168">
        <f t="shared" si="4"/>
        <v>0</v>
      </c>
      <c r="AR11" s="171"/>
      <c r="AS11" s="168">
        <f t="shared" si="5"/>
        <v>0</v>
      </c>
      <c r="AT11" s="171"/>
      <c r="AU11" s="171"/>
      <c r="AV11" s="171"/>
      <c r="AW11" s="168">
        <f t="shared" si="6"/>
        <v>0</v>
      </c>
      <c r="AX11" s="171"/>
      <c r="AY11" s="171"/>
      <c r="AZ11" s="168">
        <f t="shared" si="7"/>
        <v>0</v>
      </c>
      <c r="BA11" s="1"/>
      <c r="BB11" s="135"/>
      <c r="IH11" s="174"/>
      <c r="II11" s="174"/>
      <c r="IJ11" s="174"/>
      <c r="IK11" s="174"/>
      <c r="IL11" s="174"/>
      <c r="IM11" s="174"/>
      <c r="IN11" s="174"/>
    </row>
    <row r="12" s="135" customFormat="1" ht="12.95" customHeight="1" spans="1:248">
      <c r="A12" s="157">
        <f t="shared" si="0"/>
        <v>7</v>
      </c>
      <c r="B12" s="158" t="s">
        <v>48</v>
      </c>
      <c r="C12" s="159">
        <v>7610683</v>
      </c>
      <c r="D12" s="1" t="s">
        <v>49</v>
      </c>
      <c r="E12" s="1" t="s">
        <v>39</v>
      </c>
      <c r="F12" s="1" t="s">
        <v>31</v>
      </c>
      <c r="G12" s="1" t="s">
        <v>32</v>
      </c>
      <c r="H12" s="1" t="s">
        <v>32</v>
      </c>
      <c r="I12" s="1" t="s">
        <v>32</v>
      </c>
      <c r="J12" s="1" t="s">
        <v>32</v>
      </c>
      <c r="K12" s="1" t="s">
        <v>34</v>
      </c>
      <c r="L12" s="1" t="s">
        <v>32</v>
      </c>
      <c r="M12" s="1" t="s">
        <v>32</v>
      </c>
      <c r="N12" s="1" t="s">
        <v>43</v>
      </c>
      <c r="O12" s="1" t="s">
        <v>43</v>
      </c>
      <c r="P12" s="1" t="s">
        <v>43</v>
      </c>
      <c r="Q12" s="1" t="s">
        <v>43</v>
      </c>
      <c r="R12" s="1" t="s">
        <v>43</v>
      </c>
      <c r="S12" s="1" t="s">
        <v>32</v>
      </c>
      <c r="T12" s="1" t="s">
        <v>34</v>
      </c>
      <c r="U12" s="1" t="s">
        <v>32</v>
      </c>
      <c r="V12" s="1" t="s">
        <v>32</v>
      </c>
      <c r="W12" s="1" t="s">
        <v>34</v>
      </c>
      <c r="X12" s="1" t="s">
        <v>40</v>
      </c>
      <c r="Y12" s="1" t="s">
        <v>34</v>
      </c>
      <c r="Z12" s="1" t="s">
        <v>32</v>
      </c>
      <c r="AA12" s="1" t="s">
        <v>34</v>
      </c>
      <c r="AB12" s="1" t="s">
        <v>32</v>
      </c>
      <c r="AC12" s="1" t="s">
        <v>34</v>
      </c>
      <c r="AD12" s="1" t="s">
        <v>32</v>
      </c>
      <c r="AE12" s="1" t="s">
        <v>34</v>
      </c>
      <c r="AF12" s="1" t="s">
        <v>40</v>
      </c>
      <c r="AG12" s="1" t="s">
        <v>32</v>
      </c>
      <c r="AH12" s="1" t="s">
        <v>34</v>
      </c>
      <c r="AI12" s="1" t="s">
        <v>32</v>
      </c>
      <c r="AJ12" s="1" t="s">
        <v>32</v>
      </c>
      <c r="AK12" s="1" t="s">
        <v>34</v>
      </c>
      <c r="AL12" s="1">
        <v>22</v>
      </c>
      <c r="AM12" s="1">
        <v>22</v>
      </c>
      <c r="AN12" s="168">
        <f t="shared" si="1"/>
        <v>0</v>
      </c>
      <c r="AO12" s="168">
        <f t="shared" si="2"/>
        <v>0</v>
      </c>
      <c r="AP12" s="168">
        <f t="shared" si="3"/>
        <v>0</v>
      </c>
      <c r="AQ12" s="168">
        <f t="shared" si="4"/>
        <v>0</v>
      </c>
      <c r="AR12" s="168"/>
      <c r="AS12" s="168">
        <f t="shared" si="5"/>
        <v>0</v>
      </c>
      <c r="AT12" s="168"/>
      <c r="AU12" s="168"/>
      <c r="AV12" s="168"/>
      <c r="AW12" s="168">
        <f t="shared" si="6"/>
        <v>0</v>
      </c>
      <c r="AX12" s="168"/>
      <c r="AY12" s="168"/>
      <c r="AZ12" s="168">
        <f t="shared" si="7"/>
        <v>0</v>
      </c>
      <c r="BA12" s="1"/>
      <c r="IH12" s="142"/>
      <c r="II12" s="142"/>
      <c r="IJ12" s="142"/>
      <c r="IK12" s="142"/>
      <c r="IL12" s="142"/>
      <c r="IM12" s="142"/>
      <c r="IN12" s="142"/>
    </row>
    <row r="13" s="135" customFormat="1" ht="12.95" customHeight="1" spans="1:248">
      <c r="A13" s="157">
        <f t="shared" si="0"/>
        <v>8</v>
      </c>
      <c r="B13" s="158" t="s">
        <v>37</v>
      </c>
      <c r="C13" s="1">
        <v>7642405</v>
      </c>
      <c r="D13" s="1" t="s">
        <v>50</v>
      </c>
      <c r="E13" s="1" t="s">
        <v>51</v>
      </c>
      <c r="F13" s="1" t="s">
        <v>52</v>
      </c>
      <c r="G13" s="1" t="s">
        <v>53</v>
      </c>
      <c r="H13" s="1" t="s">
        <v>54</v>
      </c>
      <c r="I13" s="1" t="s">
        <v>34</v>
      </c>
      <c r="J13" s="1" t="s">
        <v>34</v>
      </c>
      <c r="K13" s="165" t="s">
        <v>43</v>
      </c>
      <c r="L13" s="1" t="s">
        <v>55</v>
      </c>
      <c r="M13" s="1" t="s">
        <v>55</v>
      </c>
      <c r="N13" s="1" t="s">
        <v>34</v>
      </c>
      <c r="O13" s="1" t="s">
        <v>55</v>
      </c>
      <c r="P13" s="1" t="s">
        <v>55</v>
      </c>
      <c r="Q13" s="1" t="s">
        <v>34</v>
      </c>
      <c r="R13" s="1" t="s">
        <v>55</v>
      </c>
      <c r="S13" s="1" t="s">
        <v>55</v>
      </c>
      <c r="T13" s="1" t="s">
        <v>34</v>
      </c>
      <c r="U13" s="1" t="s">
        <v>55</v>
      </c>
      <c r="V13" s="1" t="s">
        <v>55</v>
      </c>
      <c r="W13" s="1" t="s">
        <v>34</v>
      </c>
      <c r="X13" s="1" t="s">
        <v>55</v>
      </c>
      <c r="Y13" s="1" t="s">
        <v>55</v>
      </c>
      <c r="Z13" s="1" t="s">
        <v>34</v>
      </c>
      <c r="AA13" s="1" t="s">
        <v>55</v>
      </c>
      <c r="AB13" s="1" t="s">
        <v>55</v>
      </c>
      <c r="AC13" s="1" t="s">
        <v>34</v>
      </c>
      <c r="AD13" s="1" t="s">
        <v>34</v>
      </c>
      <c r="AE13" s="1" t="s">
        <v>34</v>
      </c>
      <c r="AF13" s="1" t="s">
        <v>34</v>
      </c>
      <c r="AG13" s="1" t="s">
        <v>34</v>
      </c>
      <c r="AH13" s="1" t="s">
        <v>56</v>
      </c>
      <c r="AI13" s="1" t="s">
        <v>34</v>
      </c>
      <c r="AJ13" s="1" t="s">
        <v>53</v>
      </c>
      <c r="AK13" s="1" t="s">
        <v>34</v>
      </c>
      <c r="AL13" s="1">
        <v>31</v>
      </c>
      <c r="AM13" s="1">
        <v>30</v>
      </c>
      <c r="AN13" s="168">
        <f t="shared" si="1"/>
        <v>0</v>
      </c>
      <c r="AO13" s="168">
        <f t="shared" si="2"/>
        <v>0</v>
      </c>
      <c r="AP13" s="168">
        <f t="shared" si="3"/>
        <v>0</v>
      </c>
      <c r="AQ13" s="168">
        <f t="shared" si="4"/>
        <v>1</v>
      </c>
      <c r="AR13" s="168"/>
      <c r="AS13" s="168">
        <f t="shared" si="5"/>
        <v>0</v>
      </c>
      <c r="AT13" s="168"/>
      <c r="AU13" s="168"/>
      <c r="AV13" s="168"/>
      <c r="AW13" s="168">
        <f t="shared" si="6"/>
        <v>0</v>
      </c>
      <c r="AX13" s="168"/>
      <c r="AY13" s="168"/>
      <c r="AZ13" s="168">
        <f t="shared" si="7"/>
        <v>1</v>
      </c>
      <c r="BA13" s="141" t="s">
        <v>57</v>
      </c>
      <c r="IH13" s="142"/>
      <c r="II13" s="142"/>
      <c r="IJ13" s="142"/>
      <c r="IK13" s="142"/>
      <c r="IL13" s="142"/>
      <c r="IM13" s="142"/>
      <c r="IN13" s="142"/>
    </row>
    <row r="14" s="135" customFormat="1" ht="12.95" customHeight="1" spans="1:248">
      <c r="A14" s="157">
        <f t="shared" si="0"/>
        <v>9</v>
      </c>
      <c r="B14" s="158" t="s">
        <v>37</v>
      </c>
      <c r="C14" s="159">
        <v>7642034</v>
      </c>
      <c r="D14" s="1" t="s">
        <v>58</v>
      </c>
      <c r="E14" s="1" t="s">
        <v>59</v>
      </c>
      <c r="F14" s="1" t="s">
        <v>52</v>
      </c>
      <c r="G14" s="1" t="s">
        <v>60</v>
      </c>
      <c r="H14" s="1" t="s">
        <v>34</v>
      </c>
      <c r="I14" s="1" t="s">
        <v>61</v>
      </c>
      <c r="J14" s="1" t="s">
        <v>53</v>
      </c>
      <c r="K14" s="1" t="s">
        <v>60</v>
      </c>
      <c r="L14" s="1" t="s">
        <v>34</v>
      </c>
      <c r="M14" s="1" t="s">
        <v>34</v>
      </c>
      <c r="N14" s="1" t="s">
        <v>34</v>
      </c>
      <c r="O14" s="1" t="s">
        <v>55</v>
      </c>
      <c r="P14" s="1" t="s">
        <v>55</v>
      </c>
      <c r="Q14" s="1" t="s">
        <v>34</v>
      </c>
      <c r="R14" s="1" t="s">
        <v>55</v>
      </c>
      <c r="S14" s="1" t="s">
        <v>55</v>
      </c>
      <c r="T14" s="1" t="s">
        <v>34</v>
      </c>
      <c r="U14" s="1" t="s">
        <v>55</v>
      </c>
      <c r="V14" s="1" t="s">
        <v>55</v>
      </c>
      <c r="W14" s="1" t="s">
        <v>34</v>
      </c>
      <c r="X14" s="1" t="s">
        <v>55</v>
      </c>
      <c r="Y14" s="1" t="s">
        <v>55</v>
      </c>
      <c r="Z14" s="1" t="s">
        <v>34</v>
      </c>
      <c r="AA14" s="1" t="s">
        <v>55</v>
      </c>
      <c r="AB14" s="1" t="s">
        <v>55</v>
      </c>
      <c r="AC14" s="1" t="s">
        <v>34</v>
      </c>
      <c r="AD14" s="1" t="s">
        <v>34</v>
      </c>
      <c r="AE14" s="1" t="s">
        <v>55</v>
      </c>
      <c r="AF14" s="1" t="s">
        <v>55</v>
      </c>
      <c r="AG14" s="1" t="s">
        <v>34</v>
      </c>
      <c r="AH14" s="1" t="s">
        <v>55</v>
      </c>
      <c r="AI14" s="1" t="s">
        <v>55</v>
      </c>
      <c r="AJ14" s="1" t="s">
        <v>34</v>
      </c>
      <c r="AK14" s="1" t="s">
        <v>34</v>
      </c>
      <c r="AL14" s="1">
        <v>31</v>
      </c>
      <c r="AM14" s="1">
        <v>31</v>
      </c>
      <c r="AN14" s="168">
        <f t="shared" si="1"/>
        <v>0</v>
      </c>
      <c r="AO14" s="168">
        <f t="shared" si="2"/>
        <v>0</v>
      </c>
      <c r="AP14" s="168">
        <f t="shared" si="3"/>
        <v>0</v>
      </c>
      <c r="AQ14" s="168">
        <f t="shared" si="4"/>
        <v>0</v>
      </c>
      <c r="AR14" s="168"/>
      <c r="AS14" s="168">
        <f t="shared" si="5"/>
        <v>0</v>
      </c>
      <c r="AT14" s="168"/>
      <c r="AU14" s="168"/>
      <c r="AV14" s="168"/>
      <c r="AW14" s="168">
        <f t="shared" si="6"/>
        <v>0</v>
      </c>
      <c r="AX14" s="168"/>
      <c r="AY14" s="168"/>
      <c r="AZ14" s="168">
        <f t="shared" si="7"/>
        <v>0</v>
      </c>
      <c r="BA14" s="172"/>
      <c r="IH14" s="142"/>
      <c r="II14" s="142"/>
      <c r="IJ14" s="142"/>
      <c r="IK14" s="142"/>
      <c r="IL14" s="142"/>
      <c r="IM14" s="142"/>
      <c r="IN14" s="142"/>
    </row>
    <row r="15" s="135" customFormat="1" ht="12.95" customHeight="1" spans="1:248">
      <c r="A15" s="157">
        <f t="shared" si="0"/>
        <v>10</v>
      </c>
      <c r="B15" s="158" t="s">
        <v>37</v>
      </c>
      <c r="C15" s="1">
        <v>7612672</v>
      </c>
      <c r="D15" s="1" t="s">
        <v>62</v>
      </c>
      <c r="E15" s="1" t="s">
        <v>59</v>
      </c>
      <c r="F15" s="1" t="s">
        <v>52</v>
      </c>
      <c r="G15" s="1" t="s">
        <v>53</v>
      </c>
      <c r="H15" s="1" t="s">
        <v>54</v>
      </c>
      <c r="I15" s="1" t="s">
        <v>34</v>
      </c>
      <c r="J15" s="1" t="s">
        <v>34</v>
      </c>
      <c r="K15" s="1" t="s">
        <v>53</v>
      </c>
      <c r="L15" s="1" t="s">
        <v>53</v>
      </c>
      <c r="M15" s="1" t="s">
        <v>34</v>
      </c>
      <c r="N15" s="165" t="s">
        <v>43</v>
      </c>
      <c r="O15" s="165" t="s">
        <v>43</v>
      </c>
      <c r="P15" s="165" t="s">
        <v>43</v>
      </c>
      <c r="Q15" s="165" t="s">
        <v>43</v>
      </c>
      <c r="R15" s="165" t="s">
        <v>43</v>
      </c>
      <c r="S15" s="165" t="s">
        <v>43</v>
      </c>
      <c r="T15" s="165" t="s">
        <v>43</v>
      </c>
      <c r="U15" s="165" t="s">
        <v>43</v>
      </c>
      <c r="V15" s="1" t="s">
        <v>34</v>
      </c>
      <c r="W15" s="165" t="s">
        <v>43</v>
      </c>
      <c r="X15" s="165" t="s">
        <v>43</v>
      </c>
      <c r="Y15" s="1" t="s">
        <v>34</v>
      </c>
      <c r="Z15" s="1" t="s">
        <v>53</v>
      </c>
      <c r="AA15" s="1" t="s">
        <v>53</v>
      </c>
      <c r="AB15" s="1" t="s">
        <v>53</v>
      </c>
      <c r="AC15" s="1" t="s">
        <v>34</v>
      </c>
      <c r="AD15" s="1" t="s">
        <v>54</v>
      </c>
      <c r="AE15" s="1" t="s">
        <v>34</v>
      </c>
      <c r="AF15" s="1" t="s">
        <v>53</v>
      </c>
      <c r="AG15" s="1" t="s">
        <v>54</v>
      </c>
      <c r="AH15" s="1" t="s">
        <v>34</v>
      </c>
      <c r="AI15" s="165" t="s">
        <v>43</v>
      </c>
      <c r="AJ15" s="165" t="s">
        <v>43</v>
      </c>
      <c r="AK15" s="1" t="s">
        <v>34</v>
      </c>
      <c r="AL15" s="1">
        <v>31</v>
      </c>
      <c r="AM15" s="1">
        <v>31</v>
      </c>
      <c r="AN15" s="168">
        <f t="shared" si="1"/>
        <v>0</v>
      </c>
      <c r="AO15" s="168">
        <f t="shared" si="2"/>
        <v>0</v>
      </c>
      <c r="AP15" s="168">
        <f t="shared" si="3"/>
        <v>0</v>
      </c>
      <c r="AQ15" s="168">
        <f t="shared" si="4"/>
        <v>0</v>
      </c>
      <c r="AR15" s="168"/>
      <c r="AS15" s="168">
        <f t="shared" si="5"/>
        <v>0</v>
      </c>
      <c r="AT15" s="168"/>
      <c r="AU15" s="168"/>
      <c r="AV15" s="168"/>
      <c r="AW15" s="168">
        <f t="shared" si="6"/>
        <v>0</v>
      </c>
      <c r="AX15" s="168"/>
      <c r="AY15" s="168"/>
      <c r="AZ15" s="168">
        <f t="shared" si="7"/>
        <v>0</v>
      </c>
      <c r="BA15" s="172" t="s">
        <v>63</v>
      </c>
      <c r="IH15" s="142"/>
      <c r="II15" s="142"/>
      <c r="IJ15" s="142"/>
      <c r="IK15" s="142"/>
      <c r="IL15" s="142"/>
      <c r="IM15" s="142"/>
      <c r="IN15" s="142"/>
    </row>
    <row r="16" s="135" customFormat="1" ht="12.95" customHeight="1" spans="1:248">
      <c r="A16" s="157">
        <f t="shared" si="0"/>
        <v>11</v>
      </c>
      <c r="B16" s="158" t="s">
        <v>37</v>
      </c>
      <c r="C16" s="159">
        <v>7643010</v>
      </c>
      <c r="D16" s="1" t="s">
        <v>64</v>
      </c>
      <c r="E16" s="1" t="s">
        <v>65</v>
      </c>
      <c r="F16" s="1" t="s">
        <v>52</v>
      </c>
      <c r="G16" s="1" t="s">
        <v>34</v>
      </c>
      <c r="H16" s="1" t="s">
        <v>61</v>
      </c>
      <c r="I16" s="1" t="s">
        <v>53</v>
      </c>
      <c r="J16" s="1" t="s">
        <v>60</v>
      </c>
      <c r="K16" s="1" t="s">
        <v>34</v>
      </c>
      <c r="L16" s="1" t="s">
        <v>33</v>
      </c>
      <c r="M16" s="1" t="s">
        <v>33</v>
      </c>
      <c r="N16" s="1" t="s">
        <v>33</v>
      </c>
      <c r="O16" s="1" t="s">
        <v>53</v>
      </c>
      <c r="P16" s="1" t="s">
        <v>33</v>
      </c>
      <c r="Q16" s="1" t="s">
        <v>33</v>
      </c>
      <c r="R16" s="1" t="s">
        <v>33</v>
      </c>
      <c r="S16" s="1" t="s">
        <v>34</v>
      </c>
      <c r="T16" s="1" t="s">
        <v>33</v>
      </c>
      <c r="U16" s="1" t="s">
        <v>33</v>
      </c>
      <c r="V16" s="1" t="s">
        <v>33</v>
      </c>
      <c r="W16" s="1" t="s">
        <v>53</v>
      </c>
      <c r="X16" s="1" t="s">
        <v>33</v>
      </c>
      <c r="Y16" s="1" t="s">
        <v>34</v>
      </c>
      <c r="Z16" s="1" t="s">
        <v>34</v>
      </c>
      <c r="AA16" s="1" t="s">
        <v>33</v>
      </c>
      <c r="AB16" s="1" t="s">
        <v>53</v>
      </c>
      <c r="AC16" s="1" t="s">
        <v>33</v>
      </c>
      <c r="AD16" s="1" t="s">
        <v>33</v>
      </c>
      <c r="AE16" s="1" t="s">
        <v>33</v>
      </c>
      <c r="AF16" s="1" t="s">
        <v>33</v>
      </c>
      <c r="AG16" s="1" t="s">
        <v>33</v>
      </c>
      <c r="AH16" s="1" t="s">
        <v>60</v>
      </c>
      <c r="AI16" s="1" t="s">
        <v>34</v>
      </c>
      <c r="AJ16" s="1" t="s">
        <v>53</v>
      </c>
      <c r="AK16" s="1" t="s">
        <v>34</v>
      </c>
      <c r="AL16" s="1">
        <v>31</v>
      </c>
      <c r="AM16" s="1">
        <v>31</v>
      </c>
      <c r="AN16" s="168">
        <f t="shared" si="1"/>
        <v>0</v>
      </c>
      <c r="AO16" s="168">
        <f t="shared" si="2"/>
        <v>0</v>
      </c>
      <c r="AP16" s="168">
        <f t="shared" si="3"/>
        <v>0</v>
      </c>
      <c r="AQ16" s="168">
        <f t="shared" si="4"/>
        <v>0</v>
      </c>
      <c r="AR16" s="168"/>
      <c r="AS16" s="168">
        <f t="shared" si="5"/>
        <v>0</v>
      </c>
      <c r="AT16" s="168"/>
      <c r="AU16" s="168"/>
      <c r="AV16" s="168"/>
      <c r="AW16" s="168">
        <f t="shared" si="6"/>
        <v>0</v>
      </c>
      <c r="AX16" s="168"/>
      <c r="AY16" s="168"/>
      <c r="AZ16" s="168">
        <f t="shared" si="7"/>
        <v>0</v>
      </c>
      <c r="BA16" s="172"/>
      <c r="IH16" s="142"/>
      <c r="II16" s="142"/>
      <c r="IJ16" s="142"/>
      <c r="IK16" s="142"/>
      <c r="IL16" s="142"/>
      <c r="IM16" s="142"/>
      <c r="IN16" s="142"/>
    </row>
    <row r="17" s="135" customFormat="1" ht="12.95" customHeight="1" spans="1:248">
      <c r="A17" s="157">
        <f t="shared" ref="A17:A26" si="8">ROW()-5</f>
        <v>12</v>
      </c>
      <c r="B17" s="158" t="s">
        <v>37</v>
      </c>
      <c r="C17" s="1">
        <v>7642497</v>
      </c>
      <c r="D17" s="1" t="s">
        <v>66</v>
      </c>
      <c r="E17" s="1" t="s">
        <v>51</v>
      </c>
      <c r="F17" s="1" t="s">
        <v>52</v>
      </c>
      <c r="G17" s="1" t="s">
        <v>61</v>
      </c>
      <c r="H17" s="1" t="s">
        <v>53</v>
      </c>
      <c r="I17" s="1" t="s">
        <v>60</v>
      </c>
      <c r="J17" s="1" t="s">
        <v>34</v>
      </c>
      <c r="K17" s="1" t="s">
        <v>61</v>
      </c>
      <c r="L17" s="1" t="s">
        <v>53</v>
      </c>
      <c r="M17" s="1" t="s">
        <v>60</v>
      </c>
      <c r="N17" s="1" t="s">
        <v>34</v>
      </c>
      <c r="O17" s="1" t="s">
        <v>61</v>
      </c>
      <c r="P17" s="1" t="s">
        <v>53</v>
      </c>
      <c r="Q17" s="1" t="s">
        <v>60</v>
      </c>
      <c r="R17" s="1" t="s">
        <v>34</v>
      </c>
      <c r="S17" s="1" t="s">
        <v>61</v>
      </c>
      <c r="T17" s="1" t="s">
        <v>53</v>
      </c>
      <c r="U17" s="1" t="s">
        <v>60</v>
      </c>
      <c r="V17" s="1" t="s">
        <v>34</v>
      </c>
      <c r="W17" s="1" t="s">
        <v>61</v>
      </c>
      <c r="X17" s="1" t="s">
        <v>53</v>
      </c>
      <c r="Y17" s="1" t="s">
        <v>60</v>
      </c>
      <c r="Z17" s="1" t="s">
        <v>34</v>
      </c>
      <c r="AA17" s="1" t="s">
        <v>61</v>
      </c>
      <c r="AB17" s="1" t="s">
        <v>53</v>
      </c>
      <c r="AC17" s="1" t="s">
        <v>60</v>
      </c>
      <c r="AD17" s="1" t="s">
        <v>34</v>
      </c>
      <c r="AE17" s="1" t="s">
        <v>61</v>
      </c>
      <c r="AF17" s="1" t="s">
        <v>53</v>
      </c>
      <c r="AG17" s="1" t="s">
        <v>60</v>
      </c>
      <c r="AH17" s="1" t="s">
        <v>34</v>
      </c>
      <c r="AI17" s="1" t="s">
        <v>61</v>
      </c>
      <c r="AJ17" s="1" t="s">
        <v>53</v>
      </c>
      <c r="AK17" s="1" t="s">
        <v>60</v>
      </c>
      <c r="AL17" s="1">
        <v>31</v>
      </c>
      <c r="AM17" s="1">
        <v>31</v>
      </c>
      <c r="AN17" s="168">
        <f t="shared" si="1"/>
        <v>0</v>
      </c>
      <c r="AO17" s="168">
        <f t="shared" si="2"/>
        <v>0</v>
      </c>
      <c r="AP17" s="168">
        <f t="shared" si="3"/>
        <v>0</v>
      </c>
      <c r="AQ17" s="168">
        <f t="shared" si="4"/>
        <v>0</v>
      </c>
      <c r="AR17" s="168"/>
      <c r="AS17" s="168">
        <f t="shared" si="5"/>
        <v>0</v>
      </c>
      <c r="AT17" s="168"/>
      <c r="AU17" s="168"/>
      <c r="AV17" s="168"/>
      <c r="AW17" s="168">
        <f t="shared" si="6"/>
        <v>0</v>
      </c>
      <c r="AX17" s="168"/>
      <c r="AY17" s="168"/>
      <c r="AZ17" s="168">
        <f t="shared" si="7"/>
        <v>0</v>
      </c>
      <c r="BA17" s="172"/>
      <c r="IH17" s="142"/>
      <c r="II17" s="142"/>
      <c r="IJ17" s="142"/>
      <c r="IK17" s="142"/>
      <c r="IL17" s="142"/>
      <c r="IM17" s="142"/>
      <c r="IN17" s="142"/>
    </row>
    <row r="18" s="135" customFormat="1" ht="12.95" customHeight="1" spans="1:248">
      <c r="A18" s="157">
        <f t="shared" si="8"/>
        <v>13</v>
      </c>
      <c r="B18" s="158" t="s">
        <v>37</v>
      </c>
      <c r="C18" s="1">
        <v>7610788</v>
      </c>
      <c r="D18" s="1" t="s">
        <v>67</v>
      </c>
      <c r="E18" s="1" t="s">
        <v>51</v>
      </c>
      <c r="F18" s="1" t="s">
        <v>52</v>
      </c>
      <c r="G18" s="1" t="s">
        <v>53</v>
      </c>
      <c r="H18" s="1" t="s">
        <v>60</v>
      </c>
      <c r="I18" s="1" t="s">
        <v>34</v>
      </c>
      <c r="J18" s="1" t="s">
        <v>61</v>
      </c>
      <c r="K18" s="1" t="s">
        <v>53</v>
      </c>
      <c r="L18" s="1" t="s">
        <v>60</v>
      </c>
      <c r="M18" s="1" t="s">
        <v>34</v>
      </c>
      <c r="N18" s="1" t="s">
        <v>61</v>
      </c>
      <c r="O18" s="1" t="s">
        <v>53</v>
      </c>
      <c r="P18" s="1" t="s">
        <v>60</v>
      </c>
      <c r="Q18" s="1" t="s">
        <v>34</v>
      </c>
      <c r="R18" s="1" t="s">
        <v>61</v>
      </c>
      <c r="S18" s="1" t="s">
        <v>53</v>
      </c>
      <c r="T18" s="1" t="s">
        <v>60</v>
      </c>
      <c r="U18" s="1" t="s">
        <v>34</v>
      </c>
      <c r="V18" s="1" t="s">
        <v>61</v>
      </c>
      <c r="W18" s="1" t="s">
        <v>53</v>
      </c>
      <c r="X18" s="1" t="s">
        <v>60</v>
      </c>
      <c r="Y18" s="1" t="s">
        <v>34</v>
      </c>
      <c r="Z18" s="1" t="s">
        <v>61</v>
      </c>
      <c r="AA18" s="1" t="s">
        <v>53</v>
      </c>
      <c r="AB18" s="1" t="s">
        <v>60</v>
      </c>
      <c r="AC18" s="1" t="s">
        <v>34</v>
      </c>
      <c r="AD18" s="1" t="s">
        <v>61</v>
      </c>
      <c r="AE18" s="1" t="s">
        <v>53</v>
      </c>
      <c r="AF18" s="1" t="s">
        <v>60</v>
      </c>
      <c r="AG18" s="1" t="s">
        <v>34</v>
      </c>
      <c r="AH18" s="1" t="s">
        <v>61</v>
      </c>
      <c r="AI18" s="1" t="s">
        <v>53</v>
      </c>
      <c r="AJ18" s="1" t="s">
        <v>60</v>
      </c>
      <c r="AK18" s="1" t="s">
        <v>34</v>
      </c>
      <c r="AL18" s="1">
        <v>31</v>
      </c>
      <c r="AM18" s="1">
        <v>31</v>
      </c>
      <c r="AN18" s="168">
        <f t="shared" si="1"/>
        <v>0</v>
      </c>
      <c r="AO18" s="168">
        <f t="shared" si="2"/>
        <v>0</v>
      </c>
      <c r="AP18" s="168">
        <f t="shared" si="3"/>
        <v>0</v>
      </c>
      <c r="AQ18" s="168">
        <f t="shared" si="4"/>
        <v>0</v>
      </c>
      <c r="AR18" s="168"/>
      <c r="AS18" s="168">
        <f t="shared" si="5"/>
        <v>0</v>
      </c>
      <c r="AT18" s="168"/>
      <c r="AU18" s="168"/>
      <c r="AV18" s="168"/>
      <c r="AW18" s="168">
        <f t="shared" si="6"/>
        <v>0</v>
      </c>
      <c r="AX18" s="168"/>
      <c r="AY18" s="168"/>
      <c r="AZ18" s="168">
        <f t="shared" si="7"/>
        <v>0</v>
      </c>
      <c r="BA18" s="172"/>
      <c r="IH18" s="142"/>
      <c r="II18" s="142"/>
      <c r="IJ18" s="142"/>
      <c r="IK18" s="142"/>
      <c r="IL18" s="142"/>
      <c r="IM18" s="142"/>
      <c r="IN18" s="142"/>
    </row>
    <row r="19" s="135" customFormat="1" ht="12.95" customHeight="1" spans="1:248">
      <c r="A19" s="157">
        <f t="shared" si="8"/>
        <v>14</v>
      </c>
      <c r="B19" s="158" t="s">
        <v>37</v>
      </c>
      <c r="C19" s="1">
        <v>7612418</v>
      </c>
      <c r="D19" s="1" t="s">
        <v>68</v>
      </c>
      <c r="E19" s="1" t="s">
        <v>51</v>
      </c>
      <c r="F19" s="1" t="s">
        <v>52</v>
      </c>
      <c r="G19" s="154" t="s">
        <v>54</v>
      </c>
      <c r="H19" s="1" t="s">
        <v>34</v>
      </c>
      <c r="I19" s="1" t="s">
        <v>34</v>
      </c>
      <c r="J19" s="1" t="s">
        <v>53</v>
      </c>
      <c r="K19" s="1" t="s">
        <v>54</v>
      </c>
      <c r="L19" s="1" t="s">
        <v>34</v>
      </c>
      <c r="M19" s="1" t="s">
        <v>53</v>
      </c>
      <c r="N19" s="1" t="s">
        <v>54</v>
      </c>
      <c r="O19" s="1" t="s">
        <v>34</v>
      </c>
      <c r="P19" s="1" t="s">
        <v>53</v>
      </c>
      <c r="Q19" s="1" t="s">
        <v>54</v>
      </c>
      <c r="R19" s="1" t="s">
        <v>34</v>
      </c>
      <c r="S19" s="1" t="s">
        <v>53</v>
      </c>
      <c r="T19" s="1" t="s">
        <v>54</v>
      </c>
      <c r="U19" s="1" t="s">
        <v>34</v>
      </c>
      <c r="V19" s="1" t="s">
        <v>53</v>
      </c>
      <c r="W19" s="1" t="s">
        <v>54</v>
      </c>
      <c r="X19" s="1" t="s">
        <v>34</v>
      </c>
      <c r="Y19" s="1" t="s">
        <v>34</v>
      </c>
      <c r="Z19" s="1" t="s">
        <v>53</v>
      </c>
      <c r="AA19" s="1" t="s">
        <v>54</v>
      </c>
      <c r="AB19" s="1" t="s">
        <v>34</v>
      </c>
      <c r="AC19" s="1" t="s">
        <v>34</v>
      </c>
      <c r="AD19" s="1" t="s">
        <v>53</v>
      </c>
      <c r="AE19" s="1" t="s">
        <v>54</v>
      </c>
      <c r="AF19" s="1" t="s">
        <v>34</v>
      </c>
      <c r="AG19" s="1" t="s">
        <v>34</v>
      </c>
      <c r="AH19" s="1" t="s">
        <v>53</v>
      </c>
      <c r="AI19" s="1" t="s">
        <v>54</v>
      </c>
      <c r="AJ19" s="1" t="s">
        <v>34</v>
      </c>
      <c r="AK19" s="1" t="s">
        <v>34</v>
      </c>
      <c r="AL19" s="1">
        <v>31</v>
      </c>
      <c r="AM19" s="1">
        <v>31</v>
      </c>
      <c r="AN19" s="168">
        <f t="shared" si="1"/>
        <v>0</v>
      </c>
      <c r="AO19" s="168">
        <f t="shared" si="2"/>
        <v>0</v>
      </c>
      <c r="AP19" s="168">
        <f t="shared" si="3"/>
        <v>0</v>
      </c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172"/>
      <c r="IH19" s="142"/>
      <c r="II19" s="142"/>
      <c r="IJ19" s="142"/>
      <c r="IK19" s="142"/>
      <c r="IL19" s="142"/>
      <c r="IM19" s="142"/>
      <c r="IN19" s="142"/>
    </row>
    <row r="20" s="135" customFormat="1" ht="12.95" customHeight="1" spans="1:248">
      <c r="A20" s="157">
        <f t="shared" si="8"/>
        <v>15</v>
      </c>
      <c r="B20" s="158" t="s">
        <v>37</v>
      </c>
      <c r="C20" s="1">
        <v>7642414</v>
      </c>
      <c r="D20" s="1" t="s">
        <v>69</v>
      </c>
      <c r="E20" s="1" t="s">
        <v>51</v>
      </c>
      <c r="F20" s="1" t="s">
        <v>52</v>
      </c>
      <c r="G20" s="1" t="s">
        <v>61</v>
      </c>
      <c r="H20" s="1" t="s">
        <v>53</v>
      </c>
      <c r="I20" s="1" t="s">
        <v>60</v>
      </c>
      <c r="J20" s="1" t="s">
        <v>34</v>
      </c>
      <c r="K20" s="1" t="s">
        <v>61</v>
      </c>
      <c r="L20" s="1" t="s">
        <v>53</v>
      </c>
      <c r="M20" s="1" t="s">
        <v>60</v>
      </c>
      <c r="N20" s="1" t="s">
        <v>34</v>
      </c>
      <c r="O20" s="1" t="s">
        <v>61</v>
      </c>
      <c r="P20" s="1" t="s">
        <v>53</v>
      </c>
      <c r="Q20" s="1" t="s">
        <v>60</v>
      </c>
      <c r="R20" s="1" t="s">
        <v>34</v>
      </c>
      <c r="S20" s="1" t="s">
        <v>61</v>
      </c>
      <c r="T20" s="1" t="s">
        <v>53</v>
      </c>
      <c r="U20" s="1" t="s">
        <v>60</v>
      </c>
      <c r="V20" s="1" t="s">
        <v>34</v>
      </c>
      <c r="W20" s="1" t="s">
        <v>61</v>
      </c>
      <c r="X20" s="1" t="s">
        <v>53</v>
      </c>
      <c r="Y20" s="1" t="s">
        <v>60</v>
      </c>
      <c r="Z20" s="1" t="s">
        <v>34</v>
      </c>
      <c r="AA20" s="1" t="s">
        <v>61</v>
      </c>
      <c r="AB20" s="1" t="s">
        <v>53</v>
      </c>
      <c r="AC20" s="1" t="s">
        <v>60</v>
      </c>
      <c r="AD20" s="1" t="s">
        <v>34</v>
      </c>
      <c r="AE20" s="1" t="s">
        <v>61</v>
      </c>
      <c r="AF20" s="1" t="s">
        <v>53</v>
      </c>
      <c r="AG20" s="1" t="s">
        <v>60</v>
      </c>
      <c r="AH20" s="165" t="s">
        <v>43</v>
      </c>
      <c r="AI20" s="165" t="s">
        <v>43</v>
      </c>
      <c r="AJ20" s="165" t="s">
        <v>43</v>
      </c>
      <c r="AK20" s="165" t="s">
        <v>43</v>
      </c>
      <c r="AL20" s="1">
        <v>31</v>
      </c>
      <c r="AM20" s="1">
        <v>31</v>
      </c>
      <c r="AN20" s="168">
        <f t="shared" si="1"/>
        <v>0</v>
      </c>
      <c r="AO20" s="168">
        <f t="shared" si="2"/>
        <v>0</v>
      </c>
      <c r="AP20" s="168">
        <f t="shared" si="3"/>
        <v>0</v>
      </c>
      <c r="AQ20" s="168">
        <f t="shared" si="4"/>
        <v>0</v>
      </c>
      <c r="AR20" s="168"/>
      <c r="AS20" s="168">
        <f t="shared" si="5"/>
        <v>0</v>
      </c>
      <c r="AT20" s="168"/>
      <c r="AU20" s="168"/>
      <c r="AV20" s="168"/>
      <c r="AW20" s="168">
        <f t="shared" si="6"/>
        <v>0</v>
      </c>
      <c r="AX20" s="168"/>
      <c r="AY20" s="168"/>
      <c r="AZ20" s="168">
        <f t="shared" si="7"/>
        <v>0</v>
      </c>
      <c r="BA20" s="172" t="s">
        <v>70</v>
      </c>
      <c r="IH20" s="142"/>
      <c r="II20" s="142"/>
      <c r="IJ20" s="142"/>
      <c r="IK20" s="142"/>
      <c r="IL20" s="142"/>
      <c r="IM20" s="142"/>
      <c r="IN20" s="142"/>
    </row>
    <row r="21" s="135" customFormat="1" ht="12.95" customHeight="1" spans="1:248">
      <c r="A21" s="157">
        <f t="shared" si="8"/>
        <v>16</v>
      </c>
      <c r="B21" s="158" t="s">
        <v>37</v>
      </c>
      <c r="C21" s="1" t="s">
        <v>71</v>
      </c>
      <c r="D21" s="1" t="s">
        <v>72</v>
      </c>
      <c r="E21" s="1" t="s">
        <v>51</v>
      </c>
      <c r="F21" s="1" t="s">
        <v>52</v>
      </c>
      <c r="G21" s="154" t="s">
        <v>54</v>
      </c>
      <c r="H21" s="1" t="s">
        <v>34</v>
      </c>
      <c r="I21" s="1" t="s">
        <v>34</v>
      </c>
      <c r="J21" s="1" t="s">
        <v>53</v>
      </c>
      <c r="K21" s="1" t="s">
        <v>54</v>
      </c>
      <c r="L21" s="1" t="s">
        <v>34</v>
      </c>
      <c r="M21" s="1" t="s">
        <v>53</v>
      </c>
      <c r="N21" s="1" t="s">
        <v>54</v>
      </c>
      <c r="O21" s="1" t="s">
        <v>34</v>
      </c>
      <c r="P21" s="1" t="s">
        <v>53</v>
      </c>
      <c r="Q21" s="1" t="s">
        <v>54</v>
      </c>
      <c r="R21" s="1" t="s">
        <v>34</v>
      </c>
      <c r="S21" s="1" t="s">
        <v>53</v>
      </c>
      <c r="T21" s="1" t="s">
        <v>54</v>
      </c>
      <c r="U21" s="1" t="s">
        <v>34</v>
      </c>
      <c r="V21" s="1" t="s">
        <v>53</v>
      </c>
      <c r="W21" s="1" t="s">
        <v>54</v>
      </c>
      <c r="X21" s="1" t="s">
        <v>34</v>
      </c>
      <c r="Y21" s="1" t="s">
        <v>34</v>
      </c>
      <c r="Z21" s="1" t="s">
        <v>53</v>
      </c>
      <c r="AA21" s="1" t="s">
        <v>54</v>
      </c>
      <c r="AB21" s="1" t="s">
        <v>34</v>
      </c>
      <c r="AC21" s="1" t="s">
        <v>34</v>
      </c>
      <c r="AD21" s="1" t="s">
        <v>53</v>
      </c>
      <c r="AE21" s="1" t="s">
        <v>54</v>
      </c>
      <c r="AF21" s="1" t="s">
        <v>34</v>
      </c>
      <c r="AG21" s="1" t="s">
        <v>34</v>
      </c>
      <c r="AH21" s="1" t="s">
        <v>53</v>
      </c>
      <c r="AI21" s="1" t="s">
        <v>54</v>
      </c>
      <c r="AJ21" s="1" t="s">
        <v>34</v>
      </c>
      <c r="AK21" s="1" t="s">
        <v>34</v>
      </c>
      <c r="AL21" s="1">
        <v>31</v>
      </c>
      <c r="AM21" s="1">
        <v>31</v>
      </c>
      <c r="AN21" s="168">
        <f t="shared" si="1"/>
        <v>0</v>
      </c>
      <c r="AO21" s="168">
        <f t="shared" si="2"/>
        <v>0</v>
      </c>
      <c r="AP21" s="168">
        <f t="shared" si="3"/>
        <v>0</v>
      </c>
      <c r="AQ21" s="168">
        <f t="shared" si="4"/>
        <v>0</v>
      </c>
      <c r="AR21" s="168"/>
      <c r="AS21" s="168">
        <f t="shared" si="5"/>
        <v>0</v>
      </c>
      <c r="AT21" s="168"/>
      <c r="AU21" s="168"/>
      <c r="AV21" s="168"/>
      <c r="AW21" s="168">
        <f t="shared" si="6"/>
        <v>0</v>
      </c>
      <c r="AX21" s="168"/>
      <c r="AY21" s="168"/>
      <c r="AZ21" s="168">
        <f t="shared" si="7"/>
        <v>0</v>
      </c>
      <c r="BA21" s="172"/>
      <c r="IH21" s="142"/>
      <c r="II21" s="142"/>
      <c r="IJ21" s="142"/>
      <c r="IK21" s="142"/>
      <c r="IL21" s="142"/>
      <c r="IM21" s="142"/>
      <c r="IN21" s="142"/>
    </row>
    <row r="22" s="135" customFormat="1" ht="13" customHeight="1" spans="1:248">
      <c r="A22" s="157">
        <f t="shared" si="8"/>
        <v>17</v>
      </c>
      <c r="B22" s="158" t="s">
        <v>37</v>
      </c>
      <c r="C22" s="1">
        <v>7643011</v>
      </c>
      <c r="D22" s="1" t="s">
        <v>73</v>
      </c>
      <c r="E22" s="1" t="s">
        <v>51</v>
      </c>
      <c r="F22" s="1" t="s">
        <v>52</v>
      </c>
      <c r="G22" s="1" t="s">
        <v>53</v>
      </c>
      <c r="H22" s="1" t="s">
        <v>60</v>
      </c>
      <c r="I22" s="1" t="s">
        <v>34</v>
      </c>
      <c r="J22" s="1" t="s">
        <v>61</v>
      </c>
      <c r="K22" s="1" t="s">
        <v>53</v>
      </c>
      <c r="L22" s="1" t="s">
        <v>60</v>
      </c>
      <c r="M22" s="1" t="s">
        <v>34</v>
      </c>
      <c r="N22" s="1" t="s">
        <v>61</v>
      </c>
      <c r="O22" s="1" t="s">
        <v>53</v>
      </c>
      <c r="P22" s="1" t="s">
        <v>60</v>
      </c>
      <c r="Q22" s="1" t="s">
        <v>34</v>
      </c>
      <c r="R22" s="1" t="s">
        <v>61</v>
      </c>
      <c r="S22" s="1" t="s">
        <v>53</v>
      </c>
      <c r="T22" s="1" t="s">
        <v>60</v>
      </c>
      <c r="U22" s="1" t="s">
        <v>34</v>
      </c>
      <c r="V22" s="1" t="s">
        <v>61</v>
      </c>
      <c r="W22" s="1" t="s">
        <v>53</v>
      </c>
      <c r="X22" s="1" t="s">
        <v>60</v>
      </c>
      <c r="Y22" s="1" t="s">
        <v>34</v>
      </c>
      <c r="Z22" s="1" t="s">
        <v>61</v>
      </c>
      <c r="AA22" s="1" t="s">
        <v>53</v>
      </c>
      <c r="AB22" s="1" t="s">
        <v>60</v>
      </c>
      <c r="AC22" s="1" t="s">
        <v>34</v>
      </c>
      <c r="AD22" s="1" t="s">
        <v>61</v>
      </c>
      <c r="AE22" s="1" t="s">
        <v>53</v>
      </c>
      <c r="AF22" s="1" t="s">
        <v>60</v>
      </c>
      <c r="AG22" s="1" t="s">
        <v>34</v>
      </c>
      <c r="AH22" s="1" t="s">
        <v>61</v>
      </c>
      <c r="AI22" s="1" t="s">
        <v>53</v>
      </c>
      <c r="AJ22" s="1" t="s">
        <v>60</v>
      </c>
      <c r="AK22" s="1" t="s">
        <v>34</v>
      </c>
      <c r="AL22" s="1">
        <v>31</v>
      </c>
      <c r="AM22" s="1">
        <v>31</v>
      </c>
      <c r="AN22" s="168">
        <f t="shared" si="1"/>
        <v>0</v>
      </c>
      <c r="AO22" s="168">
        <f t="shared" si="2"/>
        <v>0</v>
      </c>
      <c r="AP22" s="168">
        <f t="shared" si="3"/>
        <v>0</v>
      </c>
      <c r="AQ22" s="168">
        <f t="shared" si="4"/>
        <v>0</v>
      </c>
      <c r="AR22" s="168"/>
      <c r="AS22" s="168">
        <f t="shared" si="5"/>
        <v>0</v>
      </c>
      <c r="AT22" s="168"/>
      <c r="AU22" s="168"/>
      <c r="AV22" s="168"/>
      <c r="AW22" s="168">
        <f t="shared" si="6"/>
        <v>0</v>
      </c>
      <c r="AX22" s="168"/>
      <c r="AY22" s="168"/>
      <c r="AZ22" s="168">
        <f t="shared" si="7"/>
        <v>0</v>
      </c>
      <c r="BA22" s="172"/>
      <c r="IH22" s="142"/>
      <c r="II22" s="142"/>
      <c r="IJ22" s="142"/>
      <c r="IK22" s="142"/>
      <c r="IL22" s="142"/>
      <c r="IM22" s="142"/>
      <c r="IN22" s="142"/>
    </row>
    <row r="23" s="137" customFormat="1" ht="12.95" customHeight="1" spans="1:248">
      <c r="A23" s="157">
        <f t="shared" si="8"/>
        <v>18</v>
      </c>
      <c r="B23" s="158" t="s">
        <v>37</v>
      </c>
      <c r="C23" s="1">
        <v>7612633</v>
      </c>
      <c r="D23" s="1" t="s">
        <v>74</v>
      </c>
      <c r="E23" s="1" t="s">
        <v>59</v>
      </c>
      <c r="F23" s="1" t="s">
        <v>52</v>
      </c>
      <c r="G23" s="1" t="s">
        <v>75</v>
      </c>
      <c r="H23" s="1" t="s">
        <v>75</v>
      </c>
      <c r="I23" s="1" t="s">
        <v>75</v>
      </c>
      <c r="J23" s="1" t="s">
        <v>75</v>
      </c>
      <c r="K23" s="1" t="s">
        <v>75</v>
      </c>
      <c r="L23" s="1" t="s">
        <v>75</v>
      </c>
      <c r="M23" s="1" t="s">
        <v>75</v>
      </c>
      <c r="N23" s="1" t="s">
        <v>75</v>
      </c>
      <c r="O23" s="1" t="s">
        <v>75</v>
      </c>
      <c r="P23" s="1" t="s">
        <v>75</v>
      </c>
      <c r="Q23" s="1" t="s">
        <v>75</v>
      </c>
      <c r="R23" s="1" t="s">
        <v>75</v>
      </c>
      <c r="S23" s="1" t="s">
        <v>53</v>
      </c>
      <c r="T23" s="1" t="s">
        <v>60</v>
      </c>
      <c r="U23" s="1" t="s">
        <v>61</v>
      </c>
      <c r="V23" s="1" t="s">
        <v>53</v>
      </c>
      <c r="W23" s="1" t="s">
        <v>60</v>
      </c>
      <c r="X23" s="1" t="s">
        <v>34</v>
      </c>
      <c r="Y23" s="1" t="s">
        <v>61</v>
      </c>
      <c r="Z23" s="1" t="s">
        <v>53</v>
      </c>
      <c r="AA23" s="1" t="s">
        <v>60</v>
      </c>
      <c r="AB23" s="1" t="s">
        <v>34</v>
      </c>
      <c r="AC23" s="1" t="s">
        <v>61</v>
      </c>
      <c r="AD23" s="1" t="s">
        <v>53</v>
      </c>
      <c r="AE23" s="1" t="s">
        <v>60</v>
      </c>
      <c r="AF23" s="1" t="s">
        <v>34</v>
      </c>
      <c r="AG23" s="1" t="s">
        <v>61</v>
      </c>
      <c r="AH23" s="1" t="s">
        <v>75</v>
      </c>
      <c r="AI23" s="1" t="s">
        <v>75</v>
      </c>
      <c r="AJ23" s="1" t="s">
        <v>75</v>
      </c>
      <c r="AK23" s="1" t="s">
        <v>34</v>
      </c>
      <c r="AL23" s="1">
        <v>31</v>
      </c>
      <c r="AM23" s="1">
        <v>16</v>
      </c>
      <c r="AN23" s="168">
        <f t="shared" si="1"/>
        <v>15</v>
      </c>
      <c r="AO23" s="168">
        <f t="shared" si="2"/>
        <v>0</v>
      </c>
      <c r="AP23" s="168">
        <f t="shared" si="3"/>
        <v>0</v>
      </c>
      <c r="AQ23" s="168">
        <f t="shared" si="4"/>
        <v>0</v>
      </c>
      <c r="AR23" s="168"/>
      <c r="AS23" s="168">
        <f t="shared" si="5"/>
        <v>0</v>
      </c>
      <c r="AT23" s="168"/>
      <c r="AU23" s="168"/>
      <c r="AV23" s="168"/>
      <c r="AW23" s="168">
        <f t="shared" si="6"/>
        <v>0</v>
      </c>
      <c r="AX23" s="168"/>
      <c r="AY23" s="168"/>
      <c r="AZ23" s="168">
        <f t="shared" si="7"/>
        <v>15</v>
      </c>
      <c r="BA23" s="172"/>
      <c r="BB23" s="135"/>
      <c r="IH23" s="175"/>
      <c r="II23" s="175"/>
      <c r="IJ23" s="175"/>
      <c r="IK23" s="175"/>
      <c r="IL23" s="175"/>
      <c r="IM23" s="175"/>
      <c r="IN23" s="175"/>
    </row>
    <row r="24" s="135" customFormat="1" ht="12.95" customHeight="1" spans="1:248">
      <c r="A24" s="157">
        <f t="shared" si="8"/>
        <v>19</v>
      </c>
      <c r="B24" s="158" t="s">
        <v>37</v>
      </c>
      <c r="C24" s="1">
        <v>7612335</v>
      </c>
      <c r="D24" s="1" t="s">
        <v>76</v>
      </c>
      <c r="E24" s="1" t="s">
        <v>59</v>
      </c>
      <c r="F24" s="1" t="s">
        <v>52</v>
      </c>
      <c r="G24" s="1" t="s">
        <v>61</v>
      </c>
      <c r="H24" s="1" t="s">
        <v>53</v>
      </c>
      <c r="I24" s="1" t="s">
        <v>60</v>
      </c>
      <c r="J24" s="1" t="s">
        <v>34</v>
      </c>
      <c r="K24" s="1" t="s">
        <v>61</v>
      </c>
      <c r="L24" s="1" t="s">
        <v>53</v>
      </c>
      <c r="M24" s="1" t="s">
        <v>60</v>
      </c>
      <c r="N24" s="1" t="s">
        <v>34</v>
      </c>
      <c r="O24" s="1" t="s">
        <v>61</v>
      </c>
      <c r="P24" s="1" t="s">
        <v>53</v>
      </c>
      <c r="Q24" s="1" t="s">
        <v>60</v>
      </c>
      <c r="R24" s="1" t="s">
        <v>34</v>
      </c>
      <c r="S24" s="1" t="s">
        <v>61</v>
      </c>
      <c r="T24" s="1" t="s">
        <v>53</v>
      </c>
      <c r="U24" s="1" t="s">
        <v>60</v>
      </c>
      <c r="V24" s="1" t="s">
        <v>34</v>
      </c>
      <c r="W24" s="1" t="s">
        <v>34</v>
      </c>
      <c r="X24" s="1" t="s">
        <v>61</v>
      </c>
      <c r="Y24" s="1" t="s">
        <v>53</v>
      </c>
      <c r="Z24" s="1" t="s">
        <v>60</v>
      </c>
      <c r="AA24" s="1" t="s">
        <v>34</v>
      </c>
      <c r="AB24" s="1" t="s">
        <v>61</v>
      </c>
      <c r="AC24" s="1" t="s">
        <v>53</v>
      </c>
      <c r="AD24" s="1" t="s">
        <v>60</v>
      </c>
      <c r="AE24" s="1" t="s">
        <v>34</v>
      </c>
      <c r="AF24" s="1" t="s">
        <v>61</v>
      </c>
      <c r="AG24" s="1" t="s">
        <v>53</v>
      </c>
      <c r="AH24" s="1" t="s">
        <v>60</v>
      </c>
      <c r="AI24" s="1" t="s">
        <v>34</v>
      </c>
      <c r="AJ24" s="1" t="s">
        <v>61</v>
      </c>
      <c r="AK24" s="1" t="s">
        <v>53</v>
      </c>
      <c r="AL24" s="1">
        <v>31</v>
      </c>
      <c r="AM24" s="1">
        <v>31</v>
      </c>
      <c r="AN24" s="168">
        <f t="shared" si="1"/>
        <v>0</v>
      </c>
      <c r="AO24" s="168">
        <f t="shared" si="2"/>
        <v>0</v>
      </c>
      <c r="AP24" s="168">
        <f t="shared" si="3"/>
        <v>0</v>
      </c>
      <c r="AQ24" s="168">
        <f t="shared" si="4"/>
        <v>0</v>
      </c>
      <c r="AR24" s="168"/>
      <c r="AS24" s="168">
        <f t="shared" si="5"/>
        <v>0</v>
      </c>
      <c r="AT24" s="168"/>
      <c r="AU24" s="168"/>
      <c r="AV24" s="168"/>
      <c r="AW24" s="168">
        <f t="shared" si="6"/>
        <v>0</v>
      </c>
      <c r="AX24" s="168"/>
      <c r="AY24" s="168"/>
      <c r="AZ24" s="168">
        <f t="shared" si="7"/>
        <v>0</v>
      </c>
      <c r="BA24" s="172"/>
      <c r="IH24" s="142"/>
      <c r="II24" s="142"/>
      <c r="IJ24" s="142"/>
      <c r="IK24" s="142"/>
      <c r="IL24" s="142"/>
      <c r="IM24" s="142"/>
      <c r="IN24" s="142"/>
    </row>
    <row r="25" s="135" customFormat="1" ht="12.95" customHeight="1" spans="1:248">
      <c r="A25" s="157">
        <f t="shared" si="8"/>
        <v>20</v>
      </c>
      <c r="B25" s="158" t="s">
        <v>37</v>
      </c>
      <c r="C25" s="160">
        <v>7611826</v>
      </c>
      <c r="D25" s="160" t="s">
        <v>77</v>
      </c>
      <c r="E25" s="160" t="s">
        <v>51</v>
      </c>
      <c r="F25" s="160" t="s">
        <v>52</v>
      </c>
      <c r="G25" s="1" t="s">
        <v>34</v>
      </c>
      <c r="H25" s="1" t="s">
        <v>34</v>
      </c>
      <c r="I25" s="1" t="s">
        <v>53</v>
      </c>
      <c r="J25" s="1" t="s">
        <v>54</v>
      </c>
      <c r="K25" s="1" t="s">
        <v>34</v>
      </c>
      <c r="L25" s="1" t="s">
        <v>34</v>
      </c>
      <c r="M25" s="1" t="s">
        <v>53</v>
      </c>
      <c r="N25" s="1" t="s">
        <v>54</v>
      </c>
      <c r="O25" s="1" t="s">
        <v>34</v>
      </c>
      <c r="P25" s="1" t="s">
        <v>34</v>
      </c>
      <c r="Q25" s="1" t="s">
        <v>53</v>
      </c>
      <c r="R25" s="1" t="s">
        <v>54</v>
      </c>
      <c r="S25" s="160" t="s">
        <v>34</v>
      </c>
      <c r="T25" s="165" t="s">
        <v>78</v>
      </c>
      <c r="U25" s="165" t="s">
        <v>78</v>
      </c>
      <c r="V25" s="165" t="s">
        <v>78</v>
      </c>
      <c r="W25" s="165" t="s">
        <v>78</v>
      </c>
      <c r="X25" s="165" t="s">
        <v>78</v>
      </c>
      <c r="Y25" s="160" t="s">
        <v>53</v>
      </c>
      <c r="Z25" s="160" t="s">
        <v>54</v>
      </c>
      <c r="AA25" s="160" t="s">
        <v>34</v>
      </c>
      <c r="AB25" s="160" t="s">
        <v>34</v>
      </c>
      <c r="AC25" s="160" t="s">
        <v>53</v>
      </c>
      <c r="AD25" s="160" t="s">
        <v>54</v>
      </c>
      <c r="AE25" s="160" t="s">
        <v>34</v>
      </c>
      <c r="AF25" s="1" t="s">
        <v>34</v>
      </c>
      <c r="AG25" s="160" t="s">
        <v>53</v>
      </c>
      <c r="AH25" s="160" t="s">
        <v>54</v>
      </c>
      <c r="AI25" s="160" t="s">
        <v>34</v>
      </c>
      <c r="AJ25" s="1" t="s">
        <v>34</v>
      </c>
      <c r="AK25" s="1" t="s">
        <v>53</v>
      </c>
      <c r="AL25" s="1">
        <v>31</v>
      </c>
      <c r="AM25" s="1">
        <v>26</v>
      </c>
      <c r="AN25" s="168">
        <f t="shared" si="1"/>
        <v>0</v>
      </c>
      <c r="AO25" s="168">
        <f t="shared" si="2"/>
        <v>0</v>
      </c>
      <c r="AP25" s="168">
        <f t="shared" si="3"/>
        <v>0</v>
      </c>
      <c r="AQ25" s="168">
        <f t="shared" si="4"/>
        <v>0</v>
      </c>
      <c r="AR25" s="168"/>
      <c r="AS25" s="168">
        <f t="shared" si="5"/>
        <v>0</v>
      </c>
      <c r="AT25" s="168"/>
      <c r="AU25" s="168"/>
      <c r="AV25" s="168"/>
      <c r="AW25" s="168">
        <f t="shared" si="6"/>
        <v>5</v>
      </c>
      <c r="AX25" s="168"/>
      <c r="AY25" s="168"/>
      <c r="AZ25" s="168">
        <f t="shared" si="7"/>
        <v>0</v>
      </c>
      <c r="BA25" s="172"/>
      <c r="IH25" s="142"/>
      <c r="II25" s="142"/>
      <c r="IJ25" s="142"/>
      <c r="IK25" s="142"/>
      <c r="IL25" s="142"/>
      <c r="IM25" s="142"/>
      <c r="IN25" s="142"/>
    </row>
    <row r="26" s="135" customFormat="1" ht="12.95" customHeight="1" spans="1:248">
      <c r="A26" s="157">
        <f t="shared" si="8"/>
        <v>21</v>
      </c>
      <c r="B26" s="158" t="s">
        <v>37</v>
      </c>
      <c r="C26" s="1">
        <v>7611923</v>
      </c>
      <c r="D26" s="1" t="s">
        <v>79</v>
      </c>
      <c r="E26" s="1" t="s">
        <v>51</v>
      </c>
      <c r="F26" s="1" t="s">
        <v>52</v>
      </c>
      <c r="G26" s="1" t="s">
        <v>34</v>
      </c>
      <c r="H26" s="1" t="s">
        <v>53</v>
      </c>
      <c r="I26" s="1" t="s">
        <v>54</v>
      </c>
      <c r="J26" s="1" t="s">
        <v>34</v>
      </c>
      <c r="K26" s="1" t="s">
        <v>53</v>
      </c>
      <c r="L26" s="1" t="s">
        <v>34</v>
      </c>
      <c r="M26" s="1" t="s">
        <v>34</v>
      </c>
      <c r="N26" s="160" t="s">
        <v>53</v>
      </c>
      <c r="O26" s="1" t="s">
        <v>54</v>
      </c>
      <c r="P26" s="1" t="s">
        <v>34</v>
      </c>
      <c r="Q26" s="160" t="s">
        <v>53</v>
      </c>
      <c r="R26" s="1" t="s">
        <v>54</v>
      </c>
      <c r="S26" s="1" t="s">
        <v>34</v>
      </c>
      <c r="T26" s="160" t="s">
        <v>53</v>
      </c>
      <c r="U26" s="1" t="s">
        <v>54</v>
      </c>
      <c r="V26" s="1" t="s">
        <v>34</v>
      </c>
      <c r="W26" s="160" t="s">
        <v>53</v>
      </c>
      <c r="X26" s="1" t="s">
        <v>54</v>
      </c>
      <c r="Y26" s="1" t="s">
        <v>34</v>
      </c>
      <c r="Z26" s="160" t="s">
        <v>34</v>
      </c>
      <c r="AA26" s="160" t="s">
        <v>53</v>
      </c>
      <c r="AB26" s="1" t="s">
        <v>54</v>
      </c>
      <c r="AC26" s="1" t="s">
        <v>34</v>
      </c>
      <c r="AD26" s="160" t="s">
        <v>34</v>
      </c>
      <c r="AE26" s="160" t="s">
        <v>53</v>
      </c>
      <c r="AF26" s="1" t="s">
        <v>54</v>
      </c>
      <c r="AG26" s="1" t="s">
        <v>34</v>
      </c>
      <c r="AH26" s="160" t="s">
        <v>34</v>
      </c>
      <c r="AI26" s="160" t="s">
        <v>53</v>
      </c>
      <c r="AJ26" s="1" t="s">
        <v>54</v>
      </c>
      <c r="AK26" s="1" t="s">
        <v>34</v>
      </c>
      <c r="AL26" s="1">
        <v>31</v>
      </c>
      <c r="AM26" s="1">
        <v>31</v>
      </c>
      <c r="AN26" s="168">
        <f t="shared" si="1"/>
        <v>0</v>
      </c>
      <c r="AO26" s="168">
        <f t="shared" si="2"/>
        <v>0</v>
      </c>
      <c r="AP26" s="168">
        <f t="shared" si="3"/>
        <v>0</v>
      </c>
      <c r="AQ26" s="168">
        <f t="shared" si="4"/>
        <v>0</v>
      </c>
      <c r="AR26" s="168"/>
      <c r="AS26" s="168">
        <f t="shared" si="5"/>
        <v>0</v>
      </c>
      <c r="AT26" s="168"/>
      <c r="AU26" s="168"/>
      <c r="AV26" s="168"/>
      <c r="AW26" s="168">
        <f t="shared" si="6"/>
        <v>0</v>
      </c>
      <c r="AX26" s="168"/>
      <c r="AY26" s="168"/>
      <c r="AZ26" s="168">
        <f t="shared" si="7"/>
        <v>0</v>
      </c>
      <c r="BA26" s="172"/>
      <c r="IH26" s="142"/>
      <c r="II26" s="142"/>
      <c r="IJ26" s="142"/>
      <c r="IK26" s="142"/>
      <c r="IL26" s="142"/>
      <c r="IM26" s="142"/>
      <c r="IN26" s="142"/>
    </row>
    <row r="27" s="135" customFormat="1" ht="12.95" customHeight="1" spans="1:248">
      <c r="A27" s="157">
        <f t="shared" ref="A27:A38" si="9">ROW()-5</f>
        <v>22</v>
      </c>
      <c r="B27" s="158" t="s">
        <v>37</v>
      </c>
      <c r="C27" s="159">
        <v>7612357</v>
      </c>
      <c r="D27" s="1" t="s">
        <v>80</v>
      </c>
      <c r="E27" s="1" t="s">
        <v>51</v>
      </c>
      <c r="F27" s="1" t="s">
        <v>52</v>
      </c>
      <c r="G27" s="1" t="s">
        <v>60</v>
      </c>
      <c r="H27" s="1" t="s">
        <v>34</v>
      </c>
      <c r="I27" s="1" t="s">
        <v>34</v>
      </c>
      <c r="J27" s="1" t="s">
        <v>61</v>
      </c>
      <c r="K27" s="1" t="s">
        <v>61</v>
      </c>
      <c r="L27" s="1" t="s">
        <v>53</v>
      </c>
      <c r="M27" s="1" t="s">
        <v>60</v>
      </c>
      <c r="N27" s="1" t="s">
        <v>34</v>
      </c>
      <c r="O27" s="1" t="s">
        <v>53</v>
      </c>
      <c r="P27" s="1" t="s">
        <v>60</v>
      </c>
      <c r="Q27" s="1" t="s">
        <v>34</v>
      </c>
      <c r="R27" s="1" t="s">
        <v>61</v>
      </c>
      <c r="S27" s="1" t="s">
        <v>53</v>
      </c>
      <c r="T27" s="1" t="s">
        <v>60</v>
      </c>
      <c r="U27" s="1" t="s">
        <v>34</v>
      </c>
      <c r="V27" s="1" t="s">
        <v>34</v>
      </c>
      <c r="W27" s="1" t="s">
        <v>34</v>
      </c>
      <c r="X27" s="1" t="s">
        <v>34</v>
      </c>
      <c r="Y27" s="1" t="s">
        <v>53</v>
      </c>
      <c r="Z27" s="1" t="s">
        <v>54</v>
      </c>
      <c r="AA27" s="1" t="s">
        <v>34</v>
      </c>
      <c r="AB27" s="1" t="s">
        <v>34</v>
      </c>
      <c r="AC27" s="1" t="s">
        <v>53</v>
      </c>
      <c r="AD27" s="165" t="s">
        <v>43</v>
      </c>
      <c r="AE27" s="165" t="s">
        <v>43</v>
      </c>
      <c r="AF27" s="165" t="s">
        <v>43</v>
      </c>
      <c r="AG27" s="165" t="s">
        <v>43</v>
      </c>
      <c r="AH27" s="165" t="s">
        <v>43</v>
      </c>
      <c r="AI27" s="165" t="s">
        <v>43</v>
      </c>
      <c r="AJ27" s="165" t="s">
        <v>43</v>
      </c>
      <c r="AK27" s="1" t="s">
        <v>34</v>
      </c>
      <c r="AL27" s="1">
        <v>31</v>
      </c>
      <c r="AM27" s="1">
        <v>31</v>
      </c>
      <c r="AN27" s="168">
        <f t="shared" si="1"/>
        <v>0</v>
      </c>
      <c r="AO27" s="168">
        <f t="shared" si="2"/>
        <v>0</v>
      </c>
      <c r="AP27" s="168">
        <f t="shared" si="3"/>
        <v>0</v>
      </c>
      <c r="AQ27" s="168">
        <f t="shared" si="4"/>
        <v>0</v>
      </c>
      <c r="AR27" s="168"/>
      <c r="AS27" s="168">
        <f t="shared" si="5"/>
        <v>0</v>
      </c>
      <c r="AT27" s="168"/>
      <c r="AU27" s="168"/>
      <c r="AV27" s="168"/>
      <c r="AW27" s="168">
        <f t="shared" si="6"/>
        <v>0</v>
      </c>
      <c r="AX27" s="168"/>
      <c r="AY27" s="168"/>
      <c r="AZ27" s="168">
        <f t="shared" si="7"/>
        <v>0</v>
      </c>
      <c r="BA27" s="172" t="s">
        <v>81</v>
      </c>
      <c r="IH27" s="142"/>
      <c r="II27" s="142"/>
      <c r="IJ27" s="142"/>
      <c r="IK27" s="142"/>
      <c r="IL27" s="142"/>
      <c r="IM27" s="142"/>
      <c r="IN27" s="142"/>
    </row>
    <row r="28" s="135" customFormat="1" ht="14" customHeight="1" spans="1:248">
      <c r="A28" s="157">
        <f t="shared" si="9"/>
        <v>23</v>
      </c>
      <c r="B28" s="158" t="s">
        <v>37</v>
      </c>
      <c r="C28" s="1">
        <v>7612644</v>
      </c>
      <c r="D28" s="1" t="s">
        <v>82</v>
      </c>
      <c r="E28" s="1" t="s">
        <v>59</v>
      </c>
      <c r="F28" s="1" t="s">
        <v>52</v>
      </c>
      <c r="G28" s="1" t="s">
        <v>34</v>
      </c>
      <c r="H28" s="1" t="s">
        <v>61</v>
      </c>
      <c r="I28" s="1" t="s">
        <v>53</v>
      </c>
      <c r="J28" s="1" t="s">
        <v>60</v>
      </c>
      <c r="K28" s="1" t="s">
        <v>34</v>
      </c>
      <c r="L28" s="1" t="s">
        <v>61</v>
      </c>
      <c r="M28" s="1" t="s">
        <v>53</v>
      </c>
      <c r="N28" s="1" t="s">
        <v>60</v>
      </c>
      <c r="O28" s="1" t="s">
        <v>34</v>
      </c>
      <c r="P28" s="1" t="s">
        <v>61</v>
      </c>
      <c r="Q28" s="1" t="s">
        <v>53</v>
      </c>
      <c r="R28" s="1" t="s">
        <v>60</v>
      </c>
      <c r="S28" s="1" t="s">
        <v>34</v>
      </c>
      <c r="T28" s="1" t="s">
        <v>61</v>
      </c>
      <c r="U28" s="1" t="s">
        <v>53</v>
      </c>
      <c r="V28" s="1" t="s">
        <v>60</v>
      </c>
      <c r="W28" s="1" t="s">
        <v>34</v>
      </c>
      <c r="X28" s="1" t="s">
        <v>61</v>
      </c>
      <c r="Y28" s="1" t="s">
        <v>53</v>
      </c>
      <c r="Z28" s="1" t="s">
        <v>60</v>
      </c>
      <c r="AA28" s="1" t="s">
        <v>34</v>
      </c>
      <c r="AB28" s="1" t="s">
        <v>61</v>
      </c>
      <c r="AC28" s="1" t="s">
        <v>53</v>
      </c>
      <c r="AD28" s="1" t="s">
        <v>60</v>
      </c>
      <c r="AE28" s="1" t="s">
        <v>34</v>
      </c>
      <c r="AF28" s="1" t="s">
        <v>61</v>
      </c>
      <c r="AG28" s="1" t="s">
        <v>53</v>
      </c>
      <c r="AH28" s="1" t="s">
        <v>60</v>
      </c>
      <c r="AI28" s="1" t="s">
        <v>34</v>
      </c>
      <c r="AJ28" s="1" t="s">
        <v>61</v>
      </c>
      <c r="AK28" s="1" t="s">
        <v>53</v>
      </c>
      <c r="AL28" s="1">
        <v>31</v>
      </c>
      <c r="AM28" s="1">
        <v>31</v>
      </c>
      <c r="AN28" s="168">
        <f t="shared" si="1"/>
        <v>0</v>
      </c>
      <c r="AO28" s="168">
        <f t="shared" si="2"/>
        <v>0</v>
      </c>
      <c r="AP28" s="168">
        <f t="shared" si="3"/>
        <v>0</v>
      </c>
      <c r="AQ28" s="168">
        <f t="shared" si="4"/>
        <v>0</v>
      </c>
      <c r="AR28" s="168"/>
      <c r="AS28" s="168">
        <f t="shared" si="5"/>
        <v>0</v>
      </c>
      <c r="AT28" s="168"/>
      <c r="AU28" s="168"/>
      <c r="AV28" s="168"/>
      <c r="AW28" s="168">
        <f t="shared" si="6"/>
        <v>0</v>
      </c>
      <c r="AX28" s="168"/>
      <c r="AY28" s="168"/>
      <c r="AZ28" s="168">
        <f t="shared" si="7"/>
        <v>0</v>
      </c>
      <c r="BA28" s="172"/>
      <c r="IH28" s="142"/>
      <c r="II28" s="142"/>
      <c r="IJ28" s="142"/>
      <c r="IK28" s="142"/>
      <c r="IL28" s="142"/>
      <c r="IM28" s="142"/>
      <c r="IN28" s="142"/>
    </row>
    <row r="29" s="137" customFormat="1" ht="12.95" customHeight="1" spans="1:248">
      <c r="A29" s="161">
        <f t="shared" si="9"/>
        <v>24</v>
      </c>
      <c r="B29" s="162" t="s">
        <v>37</v>
      </c>
      <c r="C29" s="163">
        <v>7612654</v>
      </c>
      <c r="D29" s="163" t="s">
        <v>83</v>
      </c>
      <c r="E29" s="163" t="s">
        <v>59</v>
      </c>
      <c r="F29" s="163" t="s">
        <v>52</v>
      </c>
      <c r="G29" s="163" t="s">
        <v>60</v>
      </c>
      <c r="H29" s="163" t="s">
        <v>34</v>
      </c>
      <c r="I29" s="163" t="s">
        <v>75</v>
      </c>
      <c r="J29" s="163" t="s">
        <v>75</v>
      </c>
      <c r="K29" s="163" t="s">
        <v>75</v>
      </c>
      <c r="L29" s="163" t="s">
        <v>75</v>
      </c>
      <c r="M29" s="163" t="s">
        <v>61</v>
      </c>
      <c r="N29" s="163" t="s">
        <v>53</v>
      </c>
      <c r="O29" s="163" t="s">
        <v>60</v>
      </c>
      <c r="P29" s="163" t="s">
        <v>34</v>
      </c>
      <c r="Q29" s="163" t="s">
        <v>61</v>
      </c>
      <c r="R29" s="163" t="s">
        <v>53</v>
      </c>
      <c r="S29" s="163" t="s">
        <v>60</v>
      </c>
      <c r="T29" s="163" t="s">
        <v>34</v>
      </c>
      <c r="U29" s="163" t="s">
        <v>61</v>
      </c>
      <c r="V29" s="163" t="s">
        <v>53</v>
      </c>
      <c r="W29" s="163" t="s">
        <v>60</v>
      </c>
      <c r="X29" s="163" t="s">
        <v>34</v>
      </c>
      <c r="Y29" s="163" t="s">
        <v>61</v>
      </c>
      <c r="Z29" s="163" t="s">
        <v>53</v>
      </c>
      <c r="AA29" s="163" t="s">
        <v>60</v>
      </c>
      <c r="AB29" s="163" t="s">
        <v>34</v>
      </c>
      <c r="AC29" s="163" t="s">
        <v>34</v>
      </c>
      <c r="AD29" s="163" t="s">
        <v>75</v>
      </c>
      <c r="AE29" s="163" t="s">
        <v>75</v>
      </c>
      <c r="AF29" s="163" t="s">
        <v>75</v>
      </c>
      <c r="AG29" s="163" t="s">
        <v>53</v>
      </c>
      <c r="AH29" s="163" t="s">
        <v>54</v>
      </c>
      <c r="AI29" s="163" t="s">
        <v>34</v>
      </c>
      <c r="AJ29" s="163" t="s">
        <v>34</v>
      </c>
      <c r="AK29" s="163" t="s">
        <v>53</v>
      </c>
      <c r="AL29" s="163">
        <v>31</v>
      </c>
      <c r="AM29" s="163">
        <v>24</v>
      </c>
      <c r="AN29" s="169">
        <f t="shared" si="1"/>
        <v>7</v>
      </c>
      <c r="AO29" s="169">
        <f t="shared" si="2"/>
        <v>0</v>
      </c>
      <c r="AP29" s="169">
        <f t="shared" si="3"/>
        <v>0</v>
      </c>
      <c r="AQ29" s="169">
        <f t="shared" si="4"/>
        <v>0</v>
      </c>
      <c r="AR29" s="169"/>
      <c r="AS29" s="169">
        <f t="shared" si="5"/>
        <v>0</v>
      </c>
      <c r="AT29" s="169"/>
      <c r="AU29" s="169"/>
      <c r="AV29" s="169"/>
      <c r="AW29" s="169">
        <f t="shared" si="6"/>
        <v>0</v>
      </c>
      <c r="AX29" s="169"/>
      <c r="AY29" s="169"/>
      <c r="AZ29" s="169">
        <f t="shared" si="7"/>
        <v>7</v>
      </c>
      <c r="BA29" s="173"/>
      <c r="IH29" s="175"/>
      <c r="II29" s="175"/>
      <c r="IJ29" s="175"/>
      <c r="IK29" s="175"/>
      <c r="IL29" s="175"/>
      <c r="IM29" s="175"/>
      <c r="IN29" s="175"/>
    </row>
    <row r="30" s="135" customFormat="1" ht="12.95" customHeight="1" spans="1:248">
      <c r="A30" s="157">
        <f t="shared" si="9"/>
        <v>25</v>
      </c>
      <c r="B30" s="158" t="s">
        <v>37</v>
      </c>
      <c r="C30" s="1">
        <v>7612686</v>
      </c>
      <c r="D30" s="1" t="s">
        <v>84</v>
      </c>
      <c r="E30" s="1" t="s">
        <v>59</v>
      </c>
      <c r="F30" s="1" t="s">
        <v>52</v>
      </c>
      <c r="G30" s="1" t="s">
        <v>34</v>
      </c>
      <c r="H30" s="1" t="s">
        <v>61</v>
      </c>
      <c r="I30" s="1" t="s">
        <v>53</v>
      </c>
      <c r="J30" s="1" t="s">
        <v>60</v>
      </c>
      <c r="K30" s="1" t="s">
        <v>34</v>
      </c>
      <c r="L30" s="1" t="s">
        <v>61</v>
      </c>
      <c r="M30" s="1" t="s">
        <v>53</v>
      </c>
      <c r="N30" s="1" t="s">
        <v>60</v>
      </c>
      <c r="O30" s="1" t="s">
        <v>34</v>
      </c>
      <c r="P30" s="1" t="s">
        <v>61</v>
      </c>
      <c r="Q30" s="1" t="s">
        <v>53</v>
      </c>
      <c r="R30" s="1" t="s">
        <v>60</v>
      </c>
      <c r="S30" s="1" t="s">
        <v>34</v>
      </c>
      <c r="T30" s="1" t="s">
        <v>61</v>
      </c>
      <c r="U30" s="1" t="s">
        <v>53</v>
      </c>
      <c r="V30" s="1" t="s">
        <v>60</v>
      </c>
      <c r="W30" s="1" t="s">
        <v>34</v>
      </c>
      <c r="X30" s="1" t="s">
        <v>61</v>
      </c>
      <c r="Y30" s="1" t="s">
        <v>53</v>
      </c>
      <c r="Z30" s="1" t="s">
        <v>60</v>
      </c>
      <c r="AA30" s="1" t="s">
        <v>34</v>
      </c>
      <c r="AB30" s="1" t="s">
        <v>61</v>
      </c>
      <c r="AC30" s="1" t="s">
        <v>34</v>
      </c>
      <c r="AD30" s="1" t="s">
        <v>53</v>
      </c>
      <c r="AE30" s="1" t="s">
        <v>60</v>
      </c>
      <c r="AF30" s="1" t="s">
        <v>34</v>
      </c>
      <c r="AG30" s="1" t="s">
        <v>61</v>
      </c>
      <c r="AH30" s="1" t="s">
        <v>53</v>
      </c>
      <c r="AI30" s="1" t="s">
        <v>60</v>
      </c>
      <c r="AJ30" s="1" t="s">
        <v>34</v>
      </c>
      <c r="AK30" s="1" t="s">
        <v>61</v>
      </c>
      <c r="AL30" s="1">
        <v>31</v>
      </c>
      <c r="AM30" s="1">
        <v>31</v>
      </c>
      <c r="AN30" s="168">
        <f t="shared" si="1"/>
        <v>0</v>
      </c>
      <c r="AO30" s="168">
        <f t="shared" si="2"/>
        <v>0</v>
      </c>
      <c r="AP30" s="168">
        <f t="shared" si="3"/>
        <v>0</v>
      </c>
      <c r="AQ30" s="168">
        <f t="shared" si="4"/>
        <v>0</v>
      </c>
      <c r="AR30" s="168"/>
      <c r="AS30" s="168">
        <f t="shared" si="5"/>
        <v>0</v>
      </c>
      <c r="AT30" s="168"/>
      <c r="AU30" s="168"/>
      <c r="AV30" s="168"/>
      <c r="AW30" s="168">
        <f t="shared" si="6"/>
        <v>0</v>
      </c>
      <c r="AX30" s="168"/>
      <c r="AY30" s="168"/>
      <c r="AZ30" s="168">
        <f t="shared" si="7"/>
        <v>0</v>
      </c>
      <c r="BA30" s="172"/>
      <c r="IH30" s="142"/>
      <c r="II30" s="142"/>
      <c r="IJ30" s="142"/>
      <c r="IK30" s="142"/>
      <c r="IL30" s="142"/>
      <c r="IM30" s="142"/>
      <c r="IN30" s="142"/>
    </row>
    <row r="31" s="135" customFormat="1" ht="14" customHeight="1" spans="1:248">
      <c r="A31" s="157">
        <f t="shared" si="9"/>
        <v>26</v>
      </c>
      <c r="B31" s="158" t="s">
        <v>37</v>
      </c>
      <c r="C31" s="1">
        <v>7611924</v>
      </c>
      <c r="D31" s="1" t="s">
        <v>85</v>
      </c>
      <c r="E31" s="1" t="s">
        <v>51</v>
      </c>
      <c r="F31" s="1" t="s">
        <v>52</v>
      </c>
      <c r="G31" s="1" t="s">
        <v>61</v>
      </c>
      <c r="H31" s="1" t="s">
        <v>53</v>
      </c>
      <c r="I31" s="1" t="s">
        <v>60</v>
      </c>
      <c r="J31" s="1" t="s">
        <v>34</v>
      </c>
      <c r="K31" s="1" t="s">
        <v>61</v>
      </c>
      <c r="L31" s="1" t="s">
        <v>53</v>
      </c>
      <c r="M31" s="1" t="s">
        <v>60</v>
      </c>
      <c r="N31" s="1" t="s">
        <v>34</v>
      </c>
      <c r="O31" s="1" t="s">
        <v>61</v>
      </c>
      <c r="P31" s="1" t="s">
        <v>53</v>
      </c>
      <c r="Q31" s="1" t="s">
        <v>60</v>
      </c>
      <c r="R31" s="1" t="s">
        <v>34</v>
      </c>
      <c r="S31" s="1" t="s">
        <v>61</v>
      </c>
      <c r="T31" s="1" t="s">
        <v>53</v>
      </c>
      <c r="U31" s="1" t="s">
        <v>60</v>
      </c>
      <c r="V31" s="1" t="s">
        <v>34</v>
      </c>
      <c r="W31" s="1" t="s">
        <v>61</v>
      </c>
      <c r="X31" s="1" t="s">
        <v>53</v>
      </c>
      <c r="Y31" s="1" t="s">
        <v>60</v>
      </c>
      <c r="Z31" s="1" t="s">
        <v>34</v>
      </c>
      <c r="AA31" s="1" t="s">
        <v>61</v>
      </c>
      <c r="AB31" s="1" t="s">
        <v>53</v>
      </c>
      <c r="AC31" s="1" t="s">
        <v>60</v>
      </c>
      <c r="AD31" s="1" t="s">
        <v>34</v>
      </c>
      <c r="AE31" s="1" t="s">
        <v>61</v>
      </c>
      <c r="AF31" s="1" t="s">
        <v>53</v>
      </c>
      <c r="AG31" s="1" t="s">
        <v>60</v>
      </c>
      <c r="AH31" s="1" t="s">
        <v>34</v>
      </c>
      <c r="AI31" s="1" t="s">
        <v>61</v>
      </c>
      <c r="AJ31" s="1" t="s">
        <v>53</v>
      </c>
      <c r="AK31" s="1" t="s">
        <v>60</v>
      </c>
      <c r="AL31" s="1">
        <v>31</v>
      </c>
      <c r="AM31" s="1">
        <v>31</v>
      </c>
      <c r="AN31" s="168">
        <f t="shared" si="1"/>
        <v>0</v>
      </c>
      <c r="AO31" s="168">
        <f t="shared" si="2"/>
        <v>0</v>
      </c>
      <c r="AP31" s="168">
        <f t="shared" si="3"/>
        <v>0</v>
      </c>
      <c r="AQ31" s="168">
        <f t="shared" si="4"/>
        <v>0</v>
      </c>
      <c r="AR31" s="168"/>
      <c r="AS31" s="168">
        <f t="shared" si="5"/>
        <v>0</v>
      </c>
      <c r="AT31" s="168"/>
      <c r="AU31" s="168"/>
      <c r="AV31" s="168"/>
      <c r="AW31" s="168">
        <f t="shared" si="6"/>
        <v>0</v>
      </c>
      <c r="AX31" s="168"/>
      <c r="AY31" s="168"/>
      <c r="AZ31" s="168">
        <f t="shared" si="7"/>
        <v>0</v>
      </c>
      <c r="BA31" s="172"/>
      <c r="IH31" s="142"/>
      <c r="II31" s="142"/>
      <c r="IJ31" s="142"/>
      <c r="IK31" s="142"/>
      <c r="IL31" s="142"/>
      <c r="IM31" s="142"/>
      <c r="IN31" s="142"/>
    </row>
    <row r="32" s="135" customFormat="1" ht="15" customHeight="1" spans="1:248">
      <c r="A32" s="157">
        <f t="shared" si="9"/>
        <v>27</v>
      </c>
      <c r="B32" s="158" t="s">
        <v>37</v>
      </c>
      <c r="C32" s="1">
        <v>7613152</v>
      </c>
      <c r="D32" s="1" t="s">
        <v>86</v>
      </c>
      <c r="E32" s="1" t="s">
        <v>59</v>
      </c>
      <c r="F32" s="1" t="s">
        <v>52</v>
      </c>
      <c r="G32" s="1" t="s">
        <v>53</v>
      </c>
      <c r="H32" s="1" t="s">
        <v>60</v>
      </c>
      <c r="I32" s="1" t="s">
        <v>34</v>
      </c>
      <c r="J32" s="1" t="s">
        <v>61</v>
      </c>
      <c r="K32" s="1" t="s">
        <v>53</v>
      </c>
      <c r="L32" s="1" t="s">
        <v>60</v>
      </c>
      <c r="M32" s="1" t="s">
        <v>34</v>
      </c>
      <c r="N32" s="1" t="s">
        <v>61</v>
      </c>
      <c r="O32" s="1" t="s">
        <v>53</v>
      </c>
      <c r="P32" s="1" t="s">
        <v>60</v>
      </c>
      <c r="Q32" s="1" t="s">
        <v>34</v>
      </c>
      <c r="R32" s="1" t="s">
        <v>61</v>
      </c>
      <c r="S32" s="1" t="s">
        <v>53</v>
      </c>
      <c r="T32" s="1" t="s">
        <v>60</v>
      </c>
      <c r="U32" s="1" t="s">
        <v>34</v>
      </c>
      <c r="V32" s="1" t="s">
        <v>61</v>
      </c>
      <c r="W32" s="1" t="s">
        <v>53</v>
      </c>
      <c r="X32" s="1" t="s">
        <v>60</v>
      </c>
      <c r="Y32" s="1" t="s">
        <v>34</v>
      </c>
      <c r="Z32" s="1" t="s">
        <v>61</v>
      </c>
      <c r="AA32" s="1" t="s">
        <v>53</v>
      </c>
      <c r="AB32" s="1" t="s">
        <v>60</v>
      </c>
      <c r="AC32" s="1" t="s">
        <v>34</v>
      </c>
      <c r="AD32" s="1" t="s">
        <v>61</v>
      </c>
      <c r="AE32" s="1" t="s">
        <v>53</v>
      </c>
      <c r="AF32" s="1" t="s">
        <v>54</v>
      </c>
      <c r="AG32" s="1" t="s">
        <v>34</v>
      </c>
      <c r="AH32" s="1" t="s">
        <v>34</v>
      </c>
      <c r="AI32" s="1" t="s">
        <v>53</v>
      </c>
      <c r="AJ32" s="1" t="s">
        <v>54</v>
      </c>
      <c r="AK32" s="1" t="s">
        <v>34</v>
      </c>
      <c r="AL32" s="1">
        <v>31</v>
      </c>
      <c r="AM32" s="1">
        <v>31</v>
      </c>
      <c r="AN32" s="168">
        <f t="shared" si="1"/>
        <v>0</v>
      </c>
      <c r="AO32" s="168">
        <f t="shared" si="2"/>
        <v>0</v>
      </c>
      <c r="AP32" s="168">
        <f t="shared" si="3"/>
        <v>0</v>
      </c>
      <c r="AQ32" s="168">
        <f t="shared" si="4"/>
        <v>0</v>
      </c>
      <c r="AR32" s="168"/>
      <c r="AS32" s="168">
        <f t="shared" si="5"/>
        <v>0</v>
      </c>
      <c r="AT32" s="168"/>
      <c r="AU32" s="168"/>
      <c r="AV32" s="168"/>
      <c r="AW32" s="168">
        <f t="shared" si="6"/>
        <v>0</v>
      </c>
      <c r="AX32" s="168"/>
      <c r="AY32" s="168"/>
      <c r="AZ32" s="168">
        <f t="shared" si="7"/>
        <v>0</v>
      </c>
      <c r="BA32" s="172"/>
      <c r="IH32" s="142"/>
      <c r="II32" s="142"/>
      <c r="IJ32" s="142"/>
      <c r="IK32" s="142"/>
      <c r="IL32" s="142"/>
      <c r="IM32" s="142"/>
      <c r="IN32" s="142"/>
    </row>
    <row r="33" s="135" customFormat="1" ht="12.95" customHeight="1" spans="1:248">
      <c r="A33" s="157">
        <f t="shared" si="9"/>
        <v>28</v>
      </c>
      <c r="B33" s="158" t="s">
        <v>37</v>
      </c>
      <c r="C33" s="1">
        <v>7613201</v>
      </c>
      <c r="D33" s="1" t="s">
        <v>87</v>
      </c>
      <c r="E33" s="1" t="s">
        <v>59</v>
      </c>
      <c r="F33" s="1" t="s">
        <v>52</v>
      </c>
      <c r="G33" s="1" t="s">
        <v>60</v>
      </c>
      <c r="H33" s="1" t="s">
        <v>34</v>
      </c>
      <c r="I33" s="1" t="s">
        <v>61</v>
      </c>
      <c r="J33" s="1" t="s">
        <v>53</v>
      </c>
      <c r="K33" s="1" t="s">
        <v>60</v>
      </c>
      <c r="L33" s="1" t="s">
        <v>34</v>
      </c>
      <c r="M33" s="1" t="s">
        <v>61</v>
      </c>
      <c r="N33" s="1" t="s">
        <v>53</v>
      </c>
      <c r="O33" s="1" t="s">
        <v>60</v>
      </c>
      <c r="P33" s="1" t="s">
        <v>34</v>
      </c>
      <c r="Q33" s="1" t="s">
        <v>61</v>
      </c>
      <c r="R33" s="1" t="s">
        <v>53</v>
      </c>
      <c r="S33" s="1" t="s">
        <v>60</v>
      </c>
      <c r="T33" s="1" t="s">
        <v>34</v>
      </c>
      <c r="U33" s="1" t="s">
        <v>61</v>
      </c>
      <c r="V33" s="1" t="s">
        <v>53</v>
      </c>
      <c r="W33" s="1" t="s">
        <v>60</v>
      </c>
      <c r="X33" s="1" t="s">
        <v>34</v>
      </c>
      <c r="Y33" s="1" t="s">
        <v>61</v>
      </c>
      <c r="Z33" s="1" t="s">
        <v>53</v>
      </c>
      <c r="AA33" s="1" t="s">
        <v>60</v>
      </c>
      <c r="AB33" s="1" t="s">
        <v>34</v>
      </c>
      <c r="AC33" s="1" t="s">
        <v>61</v>
      </c>
      <c r="AD33" s="1" t="s">
        <v>53</v>
      </c>
      <c r="AE33" s="1" t="s">
        <v>60</v>
      </c>
      <c r="AF33" s="1" t="s">
        <v>34</v>
      </c>
      <c r="AG33" s="1" t="s">
        <v>61</v>
      </c>
      <c r="AH33" s="1" t="s">
        <v>53</v>
      </c>
      <c r="AI33" s="1" t="s">
        <v>60</v>
      </c>
      <c r="AJ33" s="1" t="s">
        <v>34</v>
      </c>
      <c r="AK33" s="1" t="s">
        <v>61</v>
      </c>
      <c r="AL33" s="1">
        <v>31</v>
      </c>
      <c r="AM33" s="1">
        <v>31</v>
      </c>
      <c r="AN33" s="168">
        <f t="shared" si="1"/>
        <v>0</v>
      </c>
      <c r="AO33" s="168">
        <f t="shared" si="2"/>
        <v>0</v>
      </c>
      <c r="AP33" s="168">
        <f t="shared" si="3"/>
        <v>0</v>
      </c>
      <c r="AQ33" s="168">
        <f t="shared" si="4"/>
        <v>0</v>
      </c>
      <c r="AR33" s="168"/>
      <c r="AS33" s="168">
        <f t="shared" si="5"/>
        <v>0</v>
      </c>
      <c r="AT33" s="168"/>
      <c r="AU33" s="168"/>
      <c r="AV33" s="168"/>
      <c r="AW33" s="168">
        <f t="shared" si="6"/>
        <v>0</v>
      </c>
      <c r="AX33" s="168"/>
      <c r="AY33" s="168"/>
      <c r="AZ33" s="168">
        <f t="shared" si="7"/>
        <v>0</v>
      </c>
      <c r="BA33" s="172"/>
      <c r="IH33" s="142"/>
      <c r="II33" s="142"/>
      <c r="IJ33" s="142"/>
      <c r="IK33" s="142"/>
      <c r="IL33" s="142"/>
      <c r="IM33" s="142"/>
      <c r="IN33" s="142"/>
    </row>
    <row r="34" s="135" customFormat="1" ht="12.95" customHeight="1" spans="1:248">
      <c r="A34" s="157">
        <f t="shared" si="9"/>
        <v>29</v>
      </c>
      <c r="B34" s="158" t="s">
        <v>37</v>
      </c>
      <c r="C34" s="159">
        <v>7642558</v>
      </c>
      <c r="D34" s="1" t="s">
        <v>88</v>
      </c>
      <c r="E34" s="1" t="s">
        <v>51</v>
      </c>
      <c r="F34" s="1" t="s">
        <v>52</v>
      </c>
      <c r="G34" s="1" t="s">
        <v>34</v>
      </c>
      <c r="H34" s="1" t="s">
        <v>61</v>
      </c>
      <c r="I34" s="1" t="s">
        <v>53</v>
      </c>
      <c r="J34" s="1" t="s">
        <v>60</v>
      </c>
      <c r="K34" s="1" t="s">
        <v>34</v>
      </c>
      <c r="L34" s="1" t="s">
        <v>61</v>
      </c>
      <c r="M34" s="1" t="s">
        <v>53</v>
      </c>
      <c r="N34" s="1" t="s">
        <v>60</v>
      </c>
      <c r="O34" s="1" t="s">
        <v>34</v>
      </c>
      <c r="P34" s="1" t="s">
        <v>61</v>
      </c>
      <c r="Q34" s="1" t="s">
        <v>53</v>
      </c>
      <c r="R34" s="1" t="s">
        <v>60</v>
      </c>
      <c r="S34" s="1" t="s">
        <v>34</v>
      </c>
      <c r="T34" s="1" t="s">
        <v>61</v>
      </c>
      <c r="U34" s="1" t="s">
        <v>53</v>
      </c>
      <c r="V34" s="1" t="s">
        <v>60</v>
      </c>
      <c r="W34" s="1" t="s">
        <v>34</v>
      </c>
      <c r="X34" s="1" t="s">
        <v>61</v>
      </c>
      <c r="Y34" s="1" t="s">
        <v>53</v>
      </c>
      <c r="Z34" s="1" t="s">
        <v>60</v>
      </c>
      <c r="AA34" s="1" t="s">
        <v>34</v>
      </c>
      <c r="AB34" s="1" t="s">
        <v>61</v>
      </c>
      <c r="AC34" s="1" t="s">
        <v>53</v>
      </c>
      <c r="AD34" s="1" t="s">
        <v>60</v>
      </c>
      <c r="AE34" s="1" t="s">
        <v>34</v>
      </c>
      <c r="AF34" s="1" t="s">
        <v>61</v>
      </c>
      <c r="AG34" s="1" t="s">
        <v>53</v>
      </c>
      <c r="AH34" s="1" t="s">
        <v>60</v>
      </c>
      <c r="AI34" s="1" t="s">
        <v>34</v>
      </c>
      <c r="AJ34" s="1" t="s">
        <v>61</v>
      </c>
      <c r="AK34" s="1" t="s">
        <v>53</v>
      </c>
      <c r="AL34" s="1">
        <v>31</v>
      </c>
      <c r="AM34" s="1">
        <v>31</v>
      </c>
      <c r="AN34" s="168">
        <f t="shared" si="1"/>
        <v>0</v>
      </c>
      <c r="AO34" s="168">
        <f t="shared" si="2"/>
        <v>0</v>
      </c>
      <c r="AP34" s="168">
        <f t="shared" si="3"/>
        <v>0</v>
      </c>
      <c r="AQ34" s="168">
        <f t="shared" si="4"/>
        <v>0</v>
      </c>
      <c r="AR34" s="168"/>
      <c r="AS34" s="168">
        <f t="shared" si="5"/>
        <v>0</v>
      </c>
      <c r="AT34" s="168"/>
      <c r="AU34" s="168"/>
      <c r="AV34" s="168"/>
      <c r="AW34" s="168">
        <f t="shared" si="6"/>
        <v>0</v>
      </c>
      <c r="AX34" s="168"/>
      <c r="AY34" s="168"/>
      <c r="AZ34" s="168">
        <f t="shared" si="7"/>
        <v>0</v>
      </c>
      <c r="BA34" s="172"/>
      <c r="IH34" s="142"/>
      <c r="II34" s="142"/>
      <c r="IJ34" s="142"/>
      <c r="IK34" s="142"/>
      <c r="IL34" s="142"/>
      <c r="IM34" s="142"/>
      <c r="IN34" s="142"/>
    </row>
    <row r="35" s="135" customFormat="1" ht="12.95" customHeight="1" spans="1:248">
      <c r="A35" s="157">
        <f t="shared" si="9"/>
        <v>30</v>
      </c>
      <c r="B35" s="158" t="s">
        <v>37</v>
      </c>
      <c r="C35" s="159">
        <v>7643008</v>
      </c>
      <c r="D35" s="1" t="s">
        <v>89</v>
      </c>
      <c r="E35" s="1" t="s">
        <v>65</v>
      </c>
      <c r="F35" s="1" t="s">
        <v>52</v>
      </c>
      <c r="G35" s="1" t="s">
        <v>61</v>
      </c>
      <c r="H35" s="1" t="s">
        <v>53</v>
      </c>
      <c r="I35" s="1" t="s">
        <v>60</v>
      </c>
      <c r="J35" s="1" t="s">
        <v>34</v>
      </c>
      <c r="K35" s="1" t="s">
        <v>33</v>
      </c>
      <c r="L35" s="1" t="s">
        <v>33</v>
      </c>
      <c r="M35" s="1" t="s">
        <v>34</v>
      </c>
      <c r="N35" s="1" t="s">
        <v>33</v>
      </c>
      <c r="O35" s="1" t="s">
        <v>33</v>
      </c>
      <c r="P35" s="1" t="s">
        <v>33</v>
      </c>
      <c r="Q35" s="1" t="s">
        <v>33</v>
      </c>
      <c r="R35" s="1" t="s">
        <v>34</v>
      </c>
      <c r="S35" s="1" t="s">
        <v>61</v>
      </c>
      <c r="T35" s="1" t="s">
        <v>53</v>
      </c>
      <c r="U35" s="1" t="s">
        <v>60</v>
      </c>
      <c r="V35" s="1" t="s">
        <v>34</v>
      </c>
      <c r="W35" s="1" t="s">
        <v>61</v>
      </c>
      <c r="X35" s="1" t="s">
        <v>53</v>
      </c>
      <c r="Y35" s="1" t="s">
        <v>60</v>
      </c>
      <c r="Z35" s="1" t="s">
        <v>34</v>
      </c>
      <c r="AA35" s="1" t="s">
        <v>33</v>
      </c>
      <c r="AB35" s="1" t="s">
        <v>33</v>
      </c>
      <c r="AC35" s="1" t="s">
        <v>33</v>
      </c>
      <c r="AD35" s="1" t="s">
        <v>33</v>
      </c>
      <c r="AE35" s="1" t="s">
        <v>33</v>
      </c>
      <c r="AF35" s="1" t="s">
        <v>34</v>
      </c>
      <c r="AG35" s="1" t="s">
        <v>61</v>
      </c>
      <c r="AH35" s="1" t="s">
        <v>53</v>
      </c>
      <c r="AI35" s="1" t="s">
        <v>60</v>
      </c>
      <c r="AJ35" s="1" t="s">
        <v>34</v>
      </c>
      <c r="AK35" s="1" t="s">
        <v>33</v>
      </c>
      <c r="AL35" s="1">
        <v>31</v>
      </c>
      <c r="AM35" s="1">
        <v>31</v>
      </c>
      <c r="AN35" s="168">
        <f t="shared" si="1"/>
        <v>0</v>
      </c>
      <c r="AO35" s="168">
        <f t="shared" si="2"/>
        <v>0</v>
      </c>
      <c r="AP35" s="168">
        <f t="shared" si="3"/>
        <v>0</v>
      </c>
      <c r="AQ35" s="168">
        <f t="shared" si="4"/>
        <v>0</v>
      </c>
      <c r="AR35" s="168"/>
      <c r="AS35" s="168">
        <f t="shared" si="5"/>
        <v>0</v>
      </c>
      <c r="AT35" s="168"/>
      <c r="AU35" s="168"/>
      <c r="AV35" s="168"/>
      <c r="AW35" s="168">
        <f t="shared" si="6"/>
        <v>0</v>
      </c>
      <c r="AX35" s="168"/>
      <c r="AY35" s="168"/>
      <c r="AZ35" s="168">
        <f t="shared" si="7"/>
        <v>0</v>
      </c>
      <c r="BA35" s="172"/>
      <c r="IH35" s="142"/>
      <c r="II35" s="142"/>
      <c r="IJ35" s="142"/>
      <c r="IK35" s="142"/>
      <c r="IL35" s="142"/>
      <c r="IM35" s="142"/>
      <c r="IN35" s="142"/>
    </row>
    <row r="36" s="135" customFormat="1" ht="12.95" customHeight="1" spans="1:248">
      <c r="A36" s="157">
        <f t="shared" si="9"/>
        <v>31</v>
      </c>
      <c r="B36" s="158" t="s">
        <v>37</v>
      </c>
      <c r="C36" s="1">
        <v>7642439</v>
      </c>
      <c r="D36" s="1" t="s">
        <v>90</v>
      </c>
      <c r="E36" s="1" t="s">
        <v>51</v>
      </c>
      <c r="F36" s="1" t="s">
        <v>52</v>
      </c>
      <c r="G36" s="1" t="s">
        <v>60</v>
      </c>
      <c r="H36" s="1" t="s">
        <v>34</v>
      </c>
      <c r="I36" s="1" t="s">
        <v>61</v>
      </c>
      <c r="J36" s="1" t="s">
        <v>53</v>
      </c>
      <c r="K36" s="1" t="s">
        <v>60</v>
      </c>
      <c r="L36" s="1" t="s">
        <v>34</v>
      </c>
      <c r="M36" s="1" t="s">
        <v>61</v>
      </c>
      <c r="N36" s="1" t="s">
        <v>53</v>
      </c>
      <c r="O36" s="1" t="s">
        <v>60</v>
      </c>
      <c r="P36" s="1" t="s">
        <v>34</v>
      </c>
      <c r="Q36" s="1" t="s">
        <v>61</v>
      </c>
      <c r="R36" s="1" t="s">
        <v>53</v>
      </c>
      <c r="S36" s="1" t="s">
        <v>60</v>
      </c>
      <c r="T36" s="1" t="s">
        <v>34</v>
      </c>
      <c r="U36" s="1" t="s">
        <v>61</v>
      </c>
      <c r="V36" s="1" t="s">
        <v>53</v>
      </c>
      <c r="W36" s="1" t="s">
        <v>60</v>
      </c>
      <c r="X36" s="1" t="s">
        <v>34</v>
      </c>
      <c r="Y36" s="1" t="s">
        <v>61</v>
      </c>
      <c r="Z36" s="1" t="s">
        <v>53</v>
      </c>
      <c r="AA36" s="1" t="s">
        <v>60</v>
      </c>
      <c r="AB36" s="1" t="s">
        <v>34</v>
      </c>
      <c r="AC36" s="1" t="s">
        <v>61</v>
      </c>
      <c r="AD36" s="1" t="s">
        <v>53</v>
      </c>
      <c r="AE36" s="1" t="s">
        <v>60</v>
      </c>
      <c r="AF36" s="1" t="s">
        <v>34</v>
      </c>
      <c r="AG36" s="1" t="s">
        <v>34</v>
      </c>
      <c r="AH36" s="1" t="s">
        <v>56</v>
      </c>
      <c r="AI36" s="1" t="s">
        <v>56</v>
      </c>
      <c r="AJ36" s="1" t="s">
        <v>34</v>
      </c>
      <c r="AK36" s="1" t="s">
        <v>61</v>
      </c>
      <c r="AL36" s="1">
        <v>31</v>
      </c>
      <c r="AM36" s="1">
        <v>29</v>
      </c>
      <c r="AN36" s="168">
        <f t="shared" si="1"/>
        <v>0</v>
      </c>
      <c r="AO36" s="168">
        <f t="shared" si="2"/>
        <v>0</v>
      </c>
      <c r="AP36" s="168">
        <f t="shared" si="3"/>
        <v>0</v>
      </c>
      <c r="AQ36" s="168">
        <f t="shared" si="4"/>
        <v>2</v>
      </c>
      <c r="AR36" s="168"/>
      <c r="AS36" s="168">
        <f t="shared" si="5"/>
        <v>0</v>
      </c>
      <c r="AT36" s="168"/>
      <c r="AU36" s="168"/>
      <c r="AV36" s="168"/>
      <c r="AW36" s="168">
        <f t="shared" si="6"/>
        <v>0</v>
      </c>
      <c r="AX36" s="168"/>
      <c r="AY36" s="168"/>
      <c r="AZ36" s="168">
        <f t="shared" si="7"/>
        <v>2</v>
      </c>
      <c r="BA36" s="172"/>
      <c r="IH36" s="142"/>
      <c r="II36" s="142"/>
      <c r="IJ36" s="142"/>
      <c r="IK36" s="142"/>
      <c r="IL36" s="142"/>
      <c r="IM36" s="142"/>
      <c r="IN36" s="142"/>
    </row>
    <row r="37" s="135" customFormat="1" ht="12.95" customHeight="1" spans="1:248">
      <c r="A37" s="157">
        <f t="shared" si="9"/>
        <v>32</v>
      </c>
      <c r="B37" s="158" t="s">
        <v>37</v>
      </c>
      <c r="C37" s="1">
        <v>7643012</v>
      </c>
      <c r="D37" s="1" t="s">
        <v>91</v>
      </c>
      <c r="E37" s="1" t="s">
        <v>51</v>
      </c>
      <c r="F37" s="1" t="s">
        <v>52</v>
      </c>
      <c r="G37" s="1" t="s">
        <v>34</v>
      </c>
      <c r="H37" s="1" t="s">
        <v>61</v>
      </c>
      <c r="I37" s="1" t="s">
        <v>53</v>
      </c>
      <c r="J37" s="1" t="s">
        <v>60</v>
      </c>
      <c r="K37" s="1" t="s">
        <v>34</v>
      </c>
      <c r="L37" s="1" t="s">
        <v>61</v>
      </c>
      <c r="M37" s="1" t="s">
        <v>53</v>
      </c>
      <c r="N37" s="1" t="s">
        <v>60</v>
      </c>
      <c r="O37" s="1" t="s">
        <v>34</v>
      </c>
      <c r="P37" s="1" t="s">
        <v>61</v>
      </c>
      <c r="Q37" s="1" t="s">
        <v>53</v>
      </c>
      <c r="R37" s="1" t="s">
        <v>60</v>
      </c>
      <c r="S37" s="1" t="s">
        <v>34</v>
      </c>
      <c r="T37" s="1" t="s">
        <v>61</v>
      </c>
      <c r="U37" s="1" t="s">
        <v>53</v>
      </c>
      <c r="V37" s="1" t="s">
        <v>60</v>
      </c>
      <c r="W37" s="1" t="s">
        <v>34</v>
      </c>
      <c r="X37" s="1" t="s">
        <v>61</v>
      </c>
      <c r="Y37" s="1" t="s">
        <v>53</v>
      </c>
      <c r="Z37" s="1" t="s">
        <v>60</v>
      </c>
      <c r="AA37" s="1" t="s">
        <v>34</v>
      </c>
      <c r="AB37" s="1" t="s">
        <v>61</v>
      </c>
      <c r="AC37" s="1" t="s">
        <v>53</v>
      </c>
      <c r="AD37" s="1" t="s">
        <v>60</v>
      </c>
      <c r="AE37" s="1" t="s">
        <v>34</v>
      </c>
      <c r="AF37" s="1" t="s">
        <v>61</v>
      </c>
      <c r="AG37" s="1" t="s">
        <v>53</v>
      </c>
      <c r="AH37" s="1" t="s">
        <v>60</v>
      </c>
      <c r="AI37" s="1" t="s">
        <v>34</v>
      </c>
      <c r="AJ37" s="1" t="s">
        <v>61</v>
      </c>
      <c r="AK37" s="1" t="s">
        <v>53</v>
      </c>
      <c r="AL37" s="1">
        <v>31</v>
      </c>
      <c r="AM37" s="1">
        <v>31</v>
      </c>
      <c r="AN37" s="168">
        <f t="shared" si="1"/>
        <v>0</v>
      </c>
      <c r="AO37" s="168">
        <f t="shared" si="2"/>
        <v>0</v>
      </c>
      <c r="AP37" s="168">
        <f t="shared" si="3"/>
        <v>0</v>
      </c>
      <c r="AQ37" s="168">
        <f t="shared" si="4"/>
        <v>0</v>
      </c>
      <c r="AR37" s="168"/>
      <c r="AS37" s="168">
        <f t="shared" si="5"/>
        <v>0</v>
      </c>
      <c r="AT37" s="168"/>
      <c r="AU37" s="168"/>
      <c r="AV37" s="168"/>
      <c r="AW37" s="168">
        <f t="shared" si="6"/>
        <v>0</v>
      </c>
      <c r="AX37" s="168"/>
      <c r="AY37" s="168"/>
      <c r="AZ37" s="168">
        <f t="shared" si="7"/>
        <v>0</v>
      </c>
      <c r="BA37" s="172"/>
      <c r="IH37" s="142"/>
      <c r="II37" s="142"/>
      <c r="IJ37" s="142"/>
      <c r="IK37" s="142"/>
      <c r="IL37" s="142"/>
      <c r="IM37" s="142"/>
      <c r="IN37" s="142"/>
    </row>
    <row r="38" s="135" customFormat="1" ht="12.95" customHeight="1" spans="1:248">
      <c r="A38" s="157">
        <f t="shared" si="9"/>
        <v>33</v>
      </c>
      <c r="B38" s="158" t="s">
        <v>37</v>
      </c>
      <c r="C38" s="1">
        <v>7611824</v>
      </c>
      <c r="D38" s="1" t="s">
        <v>92</v>
      </c>
      <c r="E38" s="1" t="s">
        <v>59</v>
      </c>
      <c r="F38" s="1" t="s">
        <v>52</v>
      </c>
      <c r="G38" s="1" t="s">
        <v>61</v>
      </c>
      <c r="H38" s="1" t="s">
        <v>53</v>
      </c>
      <c r="I38" s="1" t="s">
        <v>60</v>
      </c>
      <c r="J38" s="1" t="s">
        <v>34</v>
      </c>
      <c r="K38" s="1" t="s">
        <v>61</v>
      </c>
      <c r="L38" s="1" t="s">
        <v>53</v>
      </c>
      <c r="M38" s="1" t="s">
        <v>60</v>
      </c>
      <c r="N38" s="1" t="s">
        <v>34</v>
      </c>
      <c r="O38" s="1" t="s">
        <v>61</v>
      </c>
      <c r="P38" s="1" t="s">
        <v>53</v>
      </c>
      <c r="Q38" s="1" t="s">
        <v>60</v>
      </c>
      <c r="R38" s="1" t="s">
        <v>34</v>
      </c>
      <c r="S38" s="1" t="s">
        <v>61</v>
      </c>
      <c r="T38" s="1" t="s">
        <v>53</v>
      </c>
      <c r="U38" s="1" t="s">
        <v>60</v>
      </c>
      <c r="V38" s="1" t="s">
        <v>34</v>
      </c>
      <c r="W38" s="1" t="s">
        <v>61</v>
      </c>
      <c r="X38" s="1" t="s">
        <v>53</v>
      </c>
      <c r="Y38" s="1" t="s">
        <v>60</v>
      </c>
      <c r="Z38" s="1" t="s">
        <v>34</v>
      </c>
      <c r="AA38" s="1" t="s">
        <v>61</v>
      </c>
      <c r="AB38" s="1" t="s">
        <v>53</v>
      </c>
      <c r="AC38" s="1" t="s">
        <v>60</v>
      </c>
      <c r="AD38" s="1" t="s">
        <v>34</v>
      </c>
      <c r="AE38" s="1" t="s">
        <v>61</v>
      </c>
      <c r="AF38" s="1" t="s">
        <v>53</v>
      </c>
      <c r="AG38" s="1" t="s">
        <v>60</v>
      </c>
      <c r="AH38" s="1" t="s">
        <v>34</v>
      </c>
      <c r="AI38" s="1" t="s">
        <v>61</v>
      </c>
      <c r="AJ38" s="1" t="s">
        <v>53</v>
      </c>
      <c r="AK38" s="1" t="s">
        <v>60</v>
      </c>
      <c r="AL38" s="1">
        <v>31</v>
      </c>
      <c r="AM38" s="1">
        <v>31</v>
      </c>
      <c r="AN38" s="168">
        <f t="shared" si="1"/>
        <v>0</v>
      </c>
      <c r="AO38" s="168">
        <f t="shared" si="2"/>
        <v>0</v>
      </c>
      <c r="AP38" s="168">
        <f t="shared" si="3"/>
        <v>0</v>
      </c>
      <c r="AQ38" s="168">
        <f t="shared" si="4"/>
        <v>0</v>
      </c>
      <c r="AR38" s="168"/>
      <c r="AS38" s="168">
        <f t="shared" si="5"/>
        <v>0</v>
      </c>
      <c r="AT38" s="168"/>
      <c r="AU38" s="168"/>
      <c r="AV38" s="168"/>
      <c r="AW38" s="168">
        <f t="shared" si="6"/>
        <v>0</v>
      </c>
      <c r="AX38" s="168"/>
      <c r="AY38" s="168"/>
      <c r="AZ38" s="168">
        <f t="shared" si="7"/>
        <v>0</v>
      </c>
      <c r="BA38" s="172"/>
      <c r="IH38" s="142"/>
      <c r="II38" s="142"/>
      <c r="IJ38" s="142"/>
      <c r="IK38" s="142"/>
      <c r="IL38" s="142"/>
      <c r="IM38" s="142"/>
      <c r="IN38" s="142"/>
    </row>
    <row r="39" s="135" customFormat="1" ht="12.95" customHeight="1" spans="1:248">
      <c r="A39" s="157">
        <f t="shared" ref="A39:A48" si="10">ROW()-5</f>
        <v>34</v>
      </c>
      <c r="B39" s="158" t="s">
        <v>37</v>
      </c>
      <c r="C39" s="1">
        <v>7642627</v>
      </c>
      <c r="D39" s="1" t="s">
        <v>93</v>
      </c>
      <c r="E39" s="1" t="s">
        <v>51</v>
      </c>
      <c r="F39" s="1" t="s">
        <v>52</v>
      </c>
      <c r="G39" s="1" t="s">
        <v>34</v>
      </c>
      <c r="H39" s="1" t="s">
        <v>61</v>
      </c>
      <c r="I39" s="1" t="s">
        <v>53</v>
      </c>
      <c r="J39" s="1" t="s">
        <v>60</v>
      </c>
      <c r="K39" s="1" t="s">
        <v>34</v>
      </c>
      <c r="L39" s="1" t="s">
        <v>61</v>
      </c>
      <c r="M39" s="1" t="s">
        <v>53</v>
      </c>
      <c r="N39" s="1" t="s">
        <v>60</v>
      </c>
      <c r="O39" s="1" t="s">
        <v>34</v>
      </c>
      <c r="P39" s="1" t="s">
        <v>61</v>
      </c>
      <c r="Q39" s="1" t="s">
        <v>53</v>
      </c>
      <c r="R39" s="1" t="s">
        <v>60</v>
      </c>
      <c r="S39" s="1" t="s">
        <v>34</v>
      </c>
      <c r="T39" s="1" t="s">
        <v>61</v>
      </c>
      <c r="U39" s="1" t="s">
        <v>53</v>
      </c>
      <c r="V39" s="1" t="s">
        <v>60</v>
      </c>
      <c r="W39" s="1" t="s">
        <v>34</v>
      </c>
      <c r="X39" s="1" t="s">
        <v>61</v>
      </c>
      <c r="Y39" s="1" t="s">
        <v>53</v>
      </c>
      <c r="Z39" s="1" t="s">
        <v>60</v>
      </c>
      <c r="AA39" s="1" t="s">
        <v>34</v>
      </c>
      <c r="AB39" s="1" t="s">
        <v>61</v>
      </c>
      <c r="AC39" s="1" t="s">
        <v>53</v>
      </c>
      <c r="AD39" s="1" t="s">
        <v>60</v>
      </c>
      <c r="AE39" s="1" t="s">
        <v>34</v>
      </c>
      <c r="AF39" s="1" t="s">
        <v>61</v>
      </c>
      <c r="AG39" s="1" t="s">
        <v>53</v>
      </c>
      <c r="AH39" s="1" t="s">
        <v>60</v>
      </c>
      <c r="AI39" s="1" t="s">
        <v>34</v>
      </c>
      <c r="AJ39" s="1" t="s">
        <v>61</v>
      </c>
      <c r="AK39" s="1" t="s">
        <v>53</v>
      </c>
      <c r="AL39" s="1">
        <v>31</v>
      </c>
      <c r="AM39" s="1">
        <v>31</v>
      </c>
      <c r="AN39" s="168">
        <f t="shared" ref="AN39:AN70" si="11">COUNTIF(G39:AK39,"病")</f>
        <v>0</v>
      </c>
      <c r="AO39" s="168">
        <f t="shared" ref="AO39:AO70" si="12">COUNTIF(G39:AK39,"事")</f>
        <v>0</v>
      </c>
      <c r="AP39" s="168">
        <f t="shared" ref="AP39:AP70" si="13">COUNTIF(G39:AK39,"探")</f>
        <v>0</v>
      </c>
      <c r="AQ39" s="168">
        <f t="shared" ref="AQ39:AQ70" si="14">COUNTIF(G39:AK39,"年")</f>
        <v>0</v>
      </c>
      <c r="AR39" s="168"/>
      <c r="AS39" s="168">
        <f t="shared" ref="AS39:AS70" si="15">COUNTIF(G39:AK39,"伤")</f>
        <v>0</v>
      </c>
      <c r="AT39" s="168"/>
      <c r="AU39" s="168"/>
      <c r="AV39" s="168"/>
      <c r="AW39" s="168">
        <f t="shared" ref="AW39:AW70" si="16">COUNTIF(G39:AK39,"康")</f>
        <v>0</v>
      </c>
      <c r="AX39" s="168"/>
      <c r="AY39" s="168"/>
      <c r="AZ39" s="168">
        <f t="shared" ref="AZ39:AZ70" si="17">SUM(AN39:AY39)-AW39</f>
        <v>0</v>
      </c>
      <c r="BA39" s="172"/>
      <c r="IH39" s="142"/>
      <c r="II39" s="142"/>
      <c r="IJ39" s="142"/>
      <c r="IK39" s="142"/>
      <c r="IL39" s="142"/>
      <c r="IM39" s="142"/>
      <c r="IN39" s="142"/>
    </row>
    <row r="40" s="135" customFormat="1" ht="12.95" customHeight="1" spans="1:248">
      <c r="A40" s="157">
        <f t="shared" si="10"/>
        <v>35</v>
      </c>
      <c r="B40" s="158" t="s">
        <v>37</v>
      </c>
      <c r="C40" s="1">
        <v>7612413</v>
      </c>
      <c r="D40" s="1" t="s">
        <v>94</v>
      </c>
      <c r="E40" s="1" t="s">
        <v>51</v>
      </c>
      <c r="F40" s="1" t="s">
        <v>52</v>
      </c>
      <c r="G40" s="1" t="s">
        <v>53</v>
      </c>
      <c r="H40" s="1" t="s">
        <v>60</v>
      </c>
      <c r="I40" s="1" t="s">
        <v>34</v>
      </c>
      <c r="J40" s="1" t="s">
        <v>61</v>
      </c>
      <c r="K40" s="1" t="s">
        <v>53</v>
      </c>
      <c r="L40" s="1" t="s">
        <v>60</v>
      </c>
      <c r="M40" s="1" t="s">
        <v>34</v>
      </c>
      <c r="N40" s="1" t="s">
        <v>61</v>
      </c>
      <c r="O40" s="1" t="s">
        <v>53</v>
      </c>
      <c r="P40" s="1" t="s">
        <v>60</v>
      </c>
      <c r="Q40" s="1" t="s">
        <v>34</v>
      </c>
      <c r="R40" s="1" t="s">
        <v>61</v>
      </c>
      <c r="S40" s="1" t="s">
        <v>53</v>
      </c>
      <c r="T40" s="1" t="s">
        <v>60</v>
      </c>
      <c r="U40" s="1" t="s">
        <v>34</v>
      </c>
      <c r="V40" s="1" t="s">
        <v>61</v>
      </c>
      <c r="W40" s="1" t="s">
        <v>53</v>
      </c>
      <c r="X40" s="1" t="s">
        <v>60</v>
      </c>
      <c r="Y40" s="1" t="s">
        <v>34</v>
      </c>
      <c r="Z40" s="1" t="s">
        <v>61</v>
      </c>
      <c r="AA40" s="1" t="s">
        <v>53</v>
      </c>
      <c r="AB40" s="1" t="s">
        <v>60</v>
      </c>
      <c r="AC40" s="1" t="s">
        <v>34</v>
      </c>
      <c r="AD40" s="1" t="s">
        <v>61</v>
      </c>
      <c r="AE40" s="1" t="s">
        <v>53</v>
      </c>
      <c r="AF40" s="1" t="s">
        <v>60</v>
      </c>
      <c r="AG40" s="1" t="s">
        <v>34</v>
      </c>
      <c r="AH40" s="1" t="s">
        <v>61</v>
      </c>
      <c r="AI40" s="1" t="s">
        <v>53</v>
      </c>
      <c r="AJ40" s="1" t="s">
        <v>60</v>
      </c>
      <c r="AK40" s="1" t="s">
        <v>34</v>
      </c>
      <c r="AL40" s="1">
        <v>31</v>
      </c>
      <c r="AM40" s="1">
        <v>31</v>
      </c>
      <c r="AN40" s="168">
        <f t="shared" si="11"/>
        <v>0</v>
      </c>
      <c r="AO40" s="168">
        <f t="shared" si="12"/>
        <v>0</v>
      </c>
      <c r="AP40" s="168">
        <f t="shared" si="13"/>
        <v>0</v>
      </c>
      <c r="AQ40" s="168">
        <f t="shared" si="14"/>
        <v>0</v>
      </c>
      <c r="AR40" s="168"/>
      <c r="AS40" s="168">
        <f t="shared" si="15"/>
        <v>0</v>
      </c>
      <c r="AT40" s="168"/>
      <c r="AU40" s="168"/>
      <c r="AV40" s="168"/>
      <c r="AW40" s="168">
        <f t="shared" si="16"/>
        <v>0</v>
      </c>
      <c r="AX40" s="168"/>
      <c r="AY40" s="168"/>
      <c r="AZ40" s="168">
        <f t="shared" si="17"/>
        <v>0</v>
      </c>
      <c r="BA40" s="172"/>
      <c r="IH40" s="142"/>
      <c r="II40" s="142"/>
      <c r="IJ40" s="142"/>
      <c r="IK40" s="142"/>
      <c r="IL40" s="142"/>
      <c r="IM40" s="142"/>
      <c r="IN40" s="142"/>
    </row>
    <row r="41" s="135" customFormat="1" ht="12.95" customHeight="1" spans="1:248">
      <c r="A41" s="157">
        <f t="shared" si="10"/>
        <v>36</v>
      </c>
      <c r="B41" s="158" t="s">
        <v>37</v>
      </c>
      <c r="C41" s="1">
        <v>7612627</v>
      </c>
      <c r="D41" s="1" t="s">
        <v>95</v>
      </c>
      <c r="E41" s="1" t="s">
        <v>59</v>
      </c>
      <c r="F41" s="1" t="s">
        <v>52</v>
      </c>
      <c r="G41" s="1" t="s">
        <v>54</v>
      </c>
      <c r="H41" s="1" t="s">
        <v>34</v>
      </c>
      <c r="I41" s="1" t="s">
        <v>34</v>
      </c>
      <c r="J41" s="1" t="s">
        <v>53</v>
      </c>
      <c r="K41" s="1" t="s">
        <v>54</v>
      </c>
      <c r="L41" s="1" t="s">
        <v>34</v>
      </c>
      <c r="M41" s="1" t="s">
        <v>34</v>
      </c>
      <c r="N41" s="1" t="s">
        <v>53</v>
      </c>
      <c r="O41" s="1" t="s">
        <v>54</v>
      </c>
      <c r="P41" s="1" t="s">
        <v>34</v>
      </c>
      <c r="Q41" s="1" t="s">
        <v>53</v>
      </c>
      <c r="R41" s="1" t="s">
        <v>54</v>
      </c>
      <c r="S41" s="1" t="s">
        <v>34</v>
      </c>
      <c r="T41" s="1" t="s">
        <v>53</v>
      </c>
      <c r="U41" s="1" t="s">
        <v>54</v>
      </c>
      <c r="V41" s="1" t="s">
        <v>34</v>
      </c>
      <c r="W41" s="1" t="s">
        <v>53</v>
      </c>
      <c r="X41" s="1" t="s">
        <v>54</v>
      </c>
      <c r="Y41" s="1" t="s">
        <v>34</v>
      </c>
      <c r="Z41" s="1" t="s">
        <v>34</v>
      </c>
      <c r="AA41" s="1" t="s">
        <v>56</v>
      </c>
      <c r="AB41" s="1" t="s">
        <v>56</v>
      </c>
      <c r="AC41" s="1" t="s">
        <v>56</v>
      </c>
      <c r="AD41" s="1" t="s">
        <v>34</v>
      </c>
      <c r="AE41" s="165" t="s">
        <v>43</v>
      </c>
      <c r="AF41" s="165" t="s">
        <v>43</v>
      </c>
      <c r="AG41" s="1" t="s">
        <v>34</v>
      </c>
      <c r="AH41" s="1" t="s">
        <v>34</v>
      </c>
      <c r="AI41" s="1" t="s">
        <v>53</v>
      </c>
      <c r="AJ41" s="1" t="s">
        <v>61</v>
      </c>
      <c r="AK41" s="1" t="s">
        <v>53</v>
      </c>
      <c r="AL41" s="1">
        <v>31</v>
      </c>
      <c r="AM41" s="1">
        <v>28</v>
      </c>
      <c r="AN41" s="168">
        <f t="shared" si="11"/>
        <v>0</v>
      </c>
      <c r="AO41" s="168">
        <f t="shared" si="12"/>
        <v>0</v>
      </c>
      <c r="AP41" s="168">
        <f t="shared" si="13"/>
        <v>0</v>
      </c>
      <c r="AQ41" s="168">
        <f t="shared" si="14"/>
        <v>3</v>
      </c>
      <c r="AR41" s="168"/>
      <c r="AS41" s="168">
        <f t="shared" si="15"/>
        <v>0</v>
      </c>
      <c r="AT41" s="168"/>
      <c r="AU41" s="168"/>
      <c r="AV41" s="168"/>
      <c r="AW41" s="168">
        <f t="shared" si="16"/>
        <v>0</v>
      </c>
      <c r="AX41" s="168"/>
      <c r="AY41" s="168"/>
      <c r="AZ41" s="168">
        <f t="shared" si="17"/>
        <v>3</v>
      </c>
      <c r="BA41" s="172" t="s">
        <v>96</v>
      </c>
      <c r="IH41" s="142"/>
      <c r="II41" s="142"/>
      <c r="IJ41" s="142"/>
      <c r="IK41" s="142"/>
      <c r="IL41" s="142"/>
      <c r="IM41" s="142"/>
      <c r="IN41" s="142"/>
    </row>
    <row r="42" s="135" customFormat="1" ht="12.95" customHeight="1" spans="1:248">
      <c r="A42" s="157">
        <f t="shared" si="10"/>
        <v>37</v>
      </c>
      <c r="B42" s="158" t="s">
        <v>41</v>
      </c>
      <c r="C42" s="1">
        <v>7612108</v>
      </c>
      <c r="D42" s="1" t="s">
        <v>97</v>
      </c>
      <c r="E42" s="1" t="s">
        <v>59</v>
      </c>
      <c r="F42" s="1" t="s">
        <v>52</v>
      </c>
      <c r="G42" s="1" t="s">
        <v>53</v>
      </c>
      <c r="H42" s="1" t="s">
        <v>60</v>
      </c>
      <c r="I42" s="1" t="s">
        <v>34</v>
      </c>
      <c r="J42" s="1" t="s">
        <v>61</v>
      </c>
      <c r="K42" s="1" t="s">
        <v>53</v>
      </c>
      <c r="L42" s="1" t="s">
        <v>60</v>
      </c>
      <c r="M42" s="1" t="s">
        <v>34</v>
      </c>
      <c r="N42" s="1" t="s">
        <v>61</v>
      </c>
      <c r="O42" s="1" t="s">
        <v>53</v>
      </c>
      <c r="P42" s="1" t="s">
        <v>60</v>
      </c>
      <c r="Q42" s="1" t="s">
        <v>34</v>
      </c>
      <c r="R42" s="1" t="s">
        <v>61</v>
      </c>
      <c r="S42" s="1" t="s">
        <v>53</v>
      </c>
      <c r="T42" s="1" t="s">
        <v>60</v>
      </c>
      <c r="U42" s="1" t="s">
        <v>34</v>
      </c>
      <c r="V42" s="1" t="s">
        <v>34</v>
      </c>
      <c r="W42" s="1" t="s">
        <v>53</v>
      </c>
      <c r="X42" s="1" t="s">
        <v>60</v>
      </c>
      <c r="Y42" s="1" t="s">
        <v>34</v>
      </c>
      <c r="Z42" s="1" t="s">
        <v>61</v>
      </c>
      <c r="AA42" s="1" t="s">
        <v>53</v>
      </c>
      <c r="AB42" s="1" t="s">
        <v>60</v>
      </c>
      <c r="AC42" s="1" t="s">
        <v>34</v>
      </c>
      <c r="AD42" s="1" t="s">
        <v>61</v>
      </c>
      <c r="AE42" s="165" t="s">
        <v>43</v>
      </c>
      <c r="AF42" s="165" t="s">
        <v>43</v>
      </c>
      <c r="AG42" s="165" t="s">
        <v>43</v>
      </c>
      <c r="AH42" s="165" t="s">
        <v>43</v>
      </c>
      <c r="AI42" s="1" t="s">
        <v>61</v>
      </c>
      <c r="AJ42" s="1" t="s">
        <v>53</v>
      </c>
      <c r="AK42" s="1" t="s">
        <v>60</v>
      </c>
      <c r="AL42" s="1">
        <v>31</v>
      </c>
      <c r="AM42" s="1">
        <v>31</v>
      </c>
      <c r="AN42" s="168">
        <f t="shared" si="11"/>
        <v>0</v>
      </c>
      <c r="AO42" s="168">
        <f t="shared" si="12"/>
        <v>0</v>
      </c>
      <c r="AP42" s="168">
        <f t="shared" si="13"/>
        <v>0</v>
      </c>
      <c r="AQ42" s="168">
        <f t="shared" si="14"/>
        <v>0</v>
      </c>
      <c r="AR42" s="168"/>
      <c r="AS42" s="168">
        <f t="shared" si="15"/>
        <v>0</v>
      </c>
      <c r="AT42" s="168"/>
      <c r="AU42" s="168"/>
      <c r="AV42" s="168"/>
      <c r="AW42" s="168">
        <f t="shared" si="16"/>
        <v>0</v>
      </c>
      <c r="AX42" s="168"/>
      <c r="AY42" s="168"/>
      <c r="AZ42" s="168">
        <f t="shared" si="17"/>
        <v>0</v>
      </c>
      <c r="BA42" s="172" t="s">
        <v>63</v>
      </c>
      <c r="IH42" s="142"/>
      <c r="II42" s="142"/>
      <c r="IJ42" s="142"/>
      <c r="IK42" s="142"/>
      <c r="IL42" s="142"/>
      <c r="IM42" s="142"/>
      <c r="IN42" s="142"/>
    </row>
    <row r="43" s="135" customFormat="1" ht="12.95" customHeight="1" spans="1:248">
      <c r="A43" s="157">
        <f t="shared" si="10"/>
        <v>38</v>
      </c>
      <c r="B43" s="158" t="s">
        <v>41</v>
      </c>
      <c r="C43" s="1">
        <v>7642358</v>
      </c>
      <c r="D43" s="1" t="s">
        <v>98</v>
      </c>
      <c r="E43" s="1" t="s">
        <v>51</v>
      </c>
      <c r="F43" s="1" t="s">
        <v>52</v>
      </c>
      <c r="G43" s="1" t="s">
        <v>53</v>
      </c>
      <c r="H43" s="1" t="s">
        <v>61</v>
      </c>
      <c r="I43" s="1" t="s">
        <v>61</v>
      </c>
      <c r="J43" s="1" t="s">
        <v>34</v>
      </c>
      <c r="K43" s="1" t="s">
        <v>61</v>
      </c>
      <c r="L43" s="1" t="s">
        <v>53</v>
      </c>
      <c r="M43" s="1" t="s">
        <v>60</v>
      </c>
      <c r="N43" s="1" t="s">
        <v>34</v>
      </c>
      <c r="O43" s="1" t="s">
        <v>33</v>
      </c>
      <c r="P43" s="1" t="s">
        <v>33</v>
      </c>
      <c r="Q43" s="1" t="s">
        <v>33</v>
      </c>
      <c r="R43" s="1" t="s">
        <v>33</v>
      </c>
      <c r="S43" s="1" t="s">
        <v>34</v>
      </c>
      <c r="T43" s="1" t="s">
        <v>61</v>
      </c>
      <c r="U43" s="1" t="s">
        <v>33</v>
      </c>
      <c r="V43" s="1" t="s">
        <v>33</v>
      </c>
      <c r="W43" s="1" t="s">
        <v>33</v>
      </c>
      <c r="X43" s="1" t="s">
        <v>33</v>
      </c>
      <c r="Y43" s="1" t="s">
        <v>34</v>
      </c>
      <c r="Z43" s="1" t="s">
        <v>34</v>
      </c>
      <c r="AA43" s="1" t="s">
        <v>33</v>
      </c>
      <c r="AB43" s="1" t="s">
        <v>33</v>
      </c>
      <c r="AC43" s="1" t="s">
        <v>33</v>
      </c>
      <c r="AD43" s="1" t="s">
        <v>33</v>
      </c>
      <c r="AE43" s="1" t="s">
        <v>33</v>
      </c>
      <c r="AF43" s="1" t="s">
        <v>34</v>
      </c>
      <c r="AG43" s="1" t="s">
        <v>34</v>
      </c>
      <c r="AH43" s="1" t="s">
        <v>33</v>
      </c>
      <c r="AI43" s="1" t="s">
        <v>33</v>
      </c>
      <c r="AJ43" s="1" t="s">
        <v>33</v>
      </c>
      <c r="AK43" s="1" t="s">
        <v>33</v>
      </c>
      <c r="AL43" s="1">
        <v>31</v>
      </c>
      <c r="AM43" s="1">
        <v>31</v>
      </c>
      <c r="AN43" s="168">
        <f t="shared" si="11"/>
        <v>0</v>
      </c>
      <c r="AO43" s="168">
        <f t="shared" si="12"/>
        <v>0</v>
      </c>
      <c r="AP43" s="168">
        <f t="shared" si="13"/>
        <v>0</v>
      </c>
      <c r="AQ43" s="168">
        <f t="shared" si="14"/>
        <v>0</v>
      </c>
      <c r="AR43" s="168"/>
      <c r="AS43" s="168">
        <f t="shared" si="15"/>
        <v>0</v>
      </c>
      <c r="AT43" s="168"/>
      <c r="AU43" s="168"/>
      <c r="AV43" s="168"/>
      <c r="AW43" s="168">
        <f t="shared" si="16"/>
        <v>0</v>
      </c>
      <c r="AX43" s="168"/>
      <c r="AY43" s="168"/>
      <c r="AZ43" s="168">
        <f t="shared" si="17"/>
        <v>0</v>
      </c>
      <c r="BA43" s="172"/>
      <c r="IH43" s="142"/>
      <c r="II43" s="142"/>
      <c r="IJ43" s="142"/>
      <c r="IK43" s="142"/>
      <c r="IL43" s="142"/>
      <c r="IM43" s="142"/>
      <c r="IN43" s="142"/>
    </row>
    <row r="44" s="135" customFormat="1" ht="12.95" customHeight="1" spans="1:248">
      <c r="A44" s="157">
        <f t="shared" si="10"/>
        <v>39</v>
      </c>
      <c r="B44" s="158" t="s">
        <v>41</v>
      </c>
      <c r="C44" s="1">
        <v>7642872</v>
      </c>
      <c r="D44" s="1" t="s">
        <v>99</v>
      </c>
      <c r="E44" s="1" t="s">
        <v>51</v>
      </c>
      <c r="F44" s="1" t="s">
        <v>52</v>
      </c>
      <c r="G44" s="1" t="s">
        <v>61</v>
      </c>
      <c r="H44" s="1" t="s">
        <v>53</v>
      </c>
      <c r="I44" s="1" t="s">
        <v>60</v>
      </c>
      <c r="J44" s="1" t="s">
        <v>34</v>
      </c>
      <c r="K44" s="1" t="s">
        <v>61</v>
      </c>
      <c r="L44" s="1" t="s">
        <v>53</v>
      </c>
      <c r="M44" s="1" t="s">
        <v>60</v>
      </c>
      <c r="N44" s="1" t="s">
        <v>34</v>
      </c>
      <c r="O44" s="1" t="s">
        <v>61</v>
      </c>
      <c r="P44" s="1" t="s">
        <v>53</v>
      </c>
      <c r="Q44" s="1" t="s">
        <v>60</v>
      </c>
      <c r="R44" s="1" t="s">
        <v>34</v>
      </c>
      <c r="S44" s="1" t="s">
        <v>61</v>
      </c>
      <c r="T44" s="1" t="s">
        <v>53</v>
      </c>
      <c r="U44" s="1" t="s">
        <v>60</v>
      </c>
      <c r="V44" s="1" t="s">
        <v>34</v>
      </c>
      <c r="W44" s="1" t="s">
        <v>61</v>
      </c>
      <c r="X44" s="1" t="s">
        <v>53</v>
      </c>
      <c r="Y44" s="1" t="s">
        <v>60</v>
      </c>
      <c r="Z44" s="1" t="s">
        <v>34</v>
      </c>
      <c r="AA44" s="1" t="s">
        <v>61</v>
      </c>
      <c r="AB44" s="1" t="s">
        <v>53</v>
      </c>
      <c r="AC44" s="1" t="s">
        <v>60</v>
      </c>
      <c r="AD44" s="1" t="s">
        <v>34</v>
      </c>
      <c r="AE44" s="1" t="s">
        <v>61</v>
      </c>
      <c r="AF44" s="1" t="s">
        <v>53</v>
      </c>
      <c r="AG44" s="1" t="s">
        <v>60</v>
      </c>
      <c r="AH44" s="1" t="s">
        <v>34</v>
      </c>
      <c r="AI44" s="1" t="s">
        <v>61</v>
      </c>
      <c r="AJ44" s="1" t="s">
        <v>53</v>
      </c>
      <c r="AK44" s="1" t="s">
        <v>60</v>
      </c>
      <c r="AL44" s="1">
        <v>31</v>
      </c>
      <c r="AM44" s="1">
        <v>31</v>
      </c>
      <c r="AN44" s="168">
        <f t="shared" si="11"/>
        <v>0</v>
      </c>
      <c r="AO44" s="168">
        <f t="shared" si="12"/>
        <v>0</v>
      </c>
      <c r="AP44" s="168">
        <f t="shared" si="13"/>
        <v>0</v>
      </c>
      <c r="AQ44" s="168">
        <f t="shared" si="14"/>
        <v>0</v>
      </c>
      <c r="AR44" s="168"/>
      <c r="AS44" s="168">
        <f t="shared" si="15"/>
        <v>0</v>
      </c>
      <c r="AT44" s="168"/>
      <c r="AU44" s="168"/>
      <c r="AV44" s="168"/>
      <c r="AW44" s="168">
        <f t="shared" si="16"/>
        <v>0</v>
      </c>
      <c r="AX44" s="168"/>
      <c r="AY44" s="168"/>
      <c r="AZ44" s="168">
        <f t="shared" si="17"/>
        <v>0</v>
      </c>
      <c r="BA44" s="172"/>
      <c r="IH44" s="142"/>
      <c r="II44" s="142"/>
      <c r="IJ44" s="142"/>
      <c r="IK44" s="142"/>
      <c r="IL44" s="142"/>
      <c r="IM44" s="142"/>
      <c r="IN44" s="142"/>
    </row>
    <row r="45" s="135" customFormat="1" ht="12.95" customHeight="1" spans="1:248">
      <c r="A45" s="157">
        <f t="shared" si="10"/>
        <v>40</v>
      </c>
      <c r="B45" s="158" t="s">
        <v>41</v>
      </c>
      <c r="C45" s="160">
        <v>7612324</v>
      </c>
      <c r="D45" s="160" t="s">
        <v>100</v>
      </c>
      <c r="E45" s="160" t="s">
        <v>59</v>
      </c>
      <c r="F45" s="1" t="s">
        <v>52</v>
      </c>
      <c r="G45" s="1" t="s">
        <v>60</v>
      </c>
      <c r="H45" s="1" t="s">
        <v>34</v>
      </c>
      <c r="I45" s="1" t="s">
        <v>61</v>
      </c>
      <c r="J45" s="1" t="s">
        <v>53</v>
      </c>
      <c r="K45" s="1" t="s">
        <v>60</v>
      </c>
      <c r="L45" s="1" t="s">
        <v>34</v>
      </c>
      <c r="M45" s="1" t="s">
        <v>61</v>
      </c>
      <c r="N45" s="1" t="s">
        <v>53</v>
      </c>
      <c r="O45" s="1" t="s">
        <v>60</v>
      </c>
      <c r="P45" s="1" t="s">
        <v>34</v>
      </c>
      <c r="Q45" s="1" t="s">
        <v>34</v>
      </c>
      <c r="R45" s="1" t="s">
        <v>34</v>
      </c>
      <c r="S45" s="1" t="s">
        <v>60</v>
      </c>
      <c r="T45" s="1" t="s">
        <v>34</v>
      </c>
      <c r="U45" s="1" t="s">
        <v>61</v>
      </c>
      <c r="V45" s="1" t="s">
        <v>53</v>
      </c>
      <c r="W45" s="1" t="s">
        <v>60</v>
      </c>
      <c r="X45" s="1" t="s">
        <v>34</v>
      </c>
      <c r="Y45" s="1" t="s">
        <v>61</v>
      </c>
      <c r="Z45" s="1" t="s">
        <v>53</v>
      </c>
      <c r="AA45" s="1" t="s">
        <v>60</v>
      </c>
      <c r="AB45" s="166" t="s">
        <v>34</v>
      </c>
      <c r="AC45" s="1" t="s">
        <v>60</v>
      </c>
      <c r="AD45" s="1" t="s">
        <v>34</v>
      </c>
      <c r="AE45" s="167" t="s">
        <v>43</v>
      </c>
      <c r="AF45" s="165" t="s">
        <v>43</v>
      </c>
      <c r="AG45" s="167" t="s">
        <v>43</v>
      </c>
      <c r="AH45" s="165" t="s">
        <v>43</v>
      </c>
      <c r="AI45" s="1" t="s">
        <v>61</v>
      </c>
      <c r="AJ45" s="1" t="s">
        <v>53</v>
      </c>
      <c r="AK45" s="1" t="s">
        <v>60</v>
      </c>
      <c r="AL45" s="1">
        <v>31</v>
      </c>
      <c r="AM45" s="1">
        <v>31</v>
      </c>
      <c r="AN45" s="168">
        <f t="shared" si="11"/>
        <v>0</v>
      </c>
      <c r="AO45" s="168">
        <f t="shared" si="12"/>
        <v>0</v>
      </c>
      <c r="AP45" s="168">
        <f t="shared" si="13"/>
        <v>0</v>
      </c>
      <c r="AQ45" s="168">
        <f t="shared" si="14"/>
        <v>0</v>
      </c>
      <c r="AR45" s="168"/>
      <c r="AS45" s="168">
        <f t="shared" si="15"/>
        <v>0</v>
      </c>
      <c r="AT45" s="168"/>
      <c r="AU45" s="168"/>
      <c r="AV45" s="168"/>
      <c r="AW45" s="168">
        <f t="shared" si="16"/>
        <v>0</v>
      </c>
      <c r="AX45" s="168"/>
      <c r="AY45" s="168"/>
      <c r="AZ45" s="168">
        <f t="shared" si="17"/>
        <v>0</v>
      </c>
      <c r="BA45" s="172" t="s">
        <v>63</v>
      </c>
      <c r="IH45" s="142"/>
      <c r="II45" s="142"/>
      <c r="IJ45" s="142"/>
      <c r="IK45" s="142"/>
      <c r="IL45" s="142"/>
      <c r="IM45" s="142"/>
      <c r="IN45" s="142"/>
    </row>
    <row r="46" ht="12.95" customHeight="1" spans="1:241">
      <c r="A46" s="157">
        <f t="shared" si="10"/>
        <v>41</v>
      </c>
      <c r="B46" s="158" t="s">
        <v>41</v>
      </c>
      <c r="C46" s="1">
        <v>7642874</v>
      </c>
      <c r="D46" s="1" t="s">
        <v>101</v>
      </c>
      <c r="E46" s="1" t="s">
        <v>51</v>
      </c>
      <c r="F46" s="1" t="s">
        <v>52</v>
      </c>
      <c r="G46" s="1" t="s">
        <v>60</v>
      </c>
      <c r="H46" s="1" t="s">
        <v>34</v>
      </c>
      <c r="I46" s="1" t="s">
        <v>61</v>
      </c>
      <c r="J46" s="1" t="s">
        <v>53</v>
      </c>
      <c r="K46" s="1" t="s">
        <v>60</v>
      </c>
      <c r="L46" s="1" t="s">
        <v>34</v>
      </c>
      <c r="M46" s="1" t="s">
        <v>61</v>
      </c>
      <c r="N46" s="1" t="s">
        <v>53</v>
      </c>
      <c r="O46" s="1" t="s">
        <v>60</v>
      </c>
      <c r="P46" s="1" t="s">
        <v>34</v>
      </c>
      <c r="Q46" s="1" t="s">
        <v>61</v>
      </c>
      <c r="R46" s="1" t="s">
        <v>53</v>
      </c>
      <c r="S46" s="1" t="s">
        <v>60</v>
      </c>
      <c r="T46" s="1" t="s">
        <v>34</v>
      </c>
      <c r="U46" s="1" t="s">
        <v>61</v>
      </c>
      <c r="V46" s="1" t="s">
        <v>53</v>
      </c>
      <c r="W46" s="1" t="s">
        <v>60</v>
      </c>
      <c r="X46" s="1" t="s">
        <v>34</v>
      </c>
      <c r="Y46" s="1" t="s">
        <v>61</v>
      </c>
      <c r="Z46" s="1" t="s">
        <v>53</v>
      </c>
      <c r="AA46" s="1" t="s">
        <v>60</v>
      </c>
      <c r="AB46" s="1" t="s">
        <v>34</v>
      </c>
      <c r="AC46" s="1" t="s">
        <v>61</v>
      </c>
      <c r="AD46" s="1" t="s">
        <v>53</v>
      </c>
      <c r="AE46" s="1" t="s">
        <v>60</v>
      </c>
      <c r="AF46" s="1" t="s">
        <v>34</v>
      </c>
      <c r="AG46" s="1" t="s">
        <v>61</v>
      </c>
      <c r="AH46" s="1" t="s">
        <v>53</v>
      </c>
      <c r="AI46" s="1" t="s">
        <v>60</v>
      </c>
      <c r="AJ46" s="1" t="s">
        <v>34</v>
      </c>
      <c r="AK46" s="1" t="s">
        <v>61</v>
      </c>
      <c r="AL46" s="1">
        <v>31</v>
      </c>
      <c r="AM46" s="1">
        <v>31</v>
      </c>
      <c r="AN46" s="168">
        <f t="shared" si="11"/>
        <v>0</v>
      </c>
      <c r="AO46" s="168">
        <f t="shared" si="12"/>
        <v>0</v>
      </c>
      <c r="AP46" s="168">
        <f t="shared" si="13"/>
        <v>0</v>
      </c>
      <c r="AQ46" s="168">
        <f t="shared" si="14"/>
        <v>0</v>
      </c>
      <c r="AR46" s="168"/>
      <c r="AS46" s="168">
        <f t="shared" si="15"/>
        <v>0</v>
      </c>
      <c r="AT46" s="168"/>
      <c r="AU46" s="168"/>
      <c r="AV46" s="168"/>
      <c r="AW46" s="168">
        <f t="shared" si="16"/>
        <v>0</v>
      </c>
      <c r="AX46" s="168"/>
      <c r="AY46" s="168"/>
      <c r="AZ46" s="168">
        <f t="shared" si="17"/>
        <v>0</v>
      </c>
      <c r="BA46" s="172"/>
      <c r="BC46" s="142"/>
      <c r="BD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  <c r="FA46" s="142"/>
      <c r="FB46" s="142"/>
      <c r="FC46" s="142"/>
      <c r="FD46" s="142"/>
      <c r="FE46" s="142"/>
      <c r="FF46" s="142"/>
      <c r="FG46" s="142"/>
      <c r="FH46" s="142"/>
      <c r="FI46" s="142"/>
      <c r="FJ46" s="142"/>
      <c r="FK46" s="142"/>
      <c r="FL46" s="142"/>
      <c r="FM46" s="142"/>
      <c r="FN46" s="142"/>
      <c r="FO46" s="142"/>
      <c r="FP46" s="142"/>
      <c r="FQ46" s="142"/>
      <c r="FR46" s="142"/>
      <c r="FS46" s="142"/>
      <c r="FT46" s="142"/>
      <c r="FU46" s="142"/>
      <c r="FV46" s="142"/>
      <c r="FW46" s="142"/>
      <c r="FX46" s="142"/>
      <c r="FY46" s="142"/>
      <c r="FZ46" s="142"/>
      <c r="GA46" s="142"/>
      <c r="GB46" s="142"/>
      <c r="GC46" s="142"/>
      <c r="GD46" s="142"/>
      <c r="GE46" s="142"/>
      <c r="GF46" s="142"/>
      <c r="GG46" s="142"/>
      <c r="GH46" s="142"/>
      <c r="GI46" s="142"/>
      <c r="GJ46" s="142"/>
      <c r="GK46" s="142"/>
      <c r="GL46" s="142"/>
      <c r="GM46" s="142"/>
      <c r="GN46" s="142"/>
      <c r="GO46" s="142"/>
      <c r="GP46" s="142"/>
      <c r="GQ46" s="142"/>
      <c r="GR46" s="142"/>
      <c r="GS46" s="142"/>
      <c r="GT46" s="142"/>
      <c r="GU46" s="142"/>
      <c r="GV46" s="142"/>
      <c r="GW46" s="142"/>
      <c r="GX46" s="142"/>
      <c r="GY46" s="142"/>
      <c r="GZ46" s="142"/>
      <c r="HA46" s="142"/>
      <c r="HB46" s="142"/>
      <c r="HC46" s="142"/>
      <c r="HD46" s="142"/>
      <c r="HE46" s="142"/>
      <c r="HF46" s="142"/>
      <c r="HG46" s="142"/>
      <c r="HH46" s="142"/>
      <c r="HI46" s="142"/>
      <c r="HJ46" s="142"/>
      <c r="HK46" s="142"/>
      <c r="HL46" s="142"/>
      <c r="HM46" s="142"/>
      <c r="HN46" s="142"/>
      <c r="HO46" s="142"/>
      <c r="HP46" s="142"/>
      <c r="HQ46" s="142"/>
      <c r="HR46" s="142"/>
      <c r="HS46" s="142"/>
      <c r="HT46" s="142"/>
      <c r="HU46" s="142"/>
      <c r="HV46" s="142"/>
      <c r="HW46" s="142"/>
      <c r="HX46" s="142"/>
      <c r="HY46" s="142"/>
      <c r="HZ46" s="142"/>
      <c r="IA46" s="142"/>
      <c r="IB46" s="142"/>
      <c r="IC46" s="142"/>
      <c r="ID46" s="142"/>
      <c r="IE46" s="142"/>
      <c r="IF46" s="142"/>
      <c r="IG46" s="142"/>
    </row>
    <row r="47" s="135" customFormat="1" ht="12.95" customHeight="1" spans="1:248">
      <c r="A47" s="157">
        <f t="shared" si="10"/>
        <v>42</v>
      </c>
      <c r="B47" s="158" t="s">
        <v>41</v>
      </c>
      <c r="C47" s="1">
        <v>7642907</v>
      </c>
      <c r="D47" s="1" t="s">
        <v>102</v>
      </c>
      <c r="E47" s="1" t="s">
        <v>65</v>
      </c>
      <c r="F47" s="1" t="s">
        <v>52</v>
      </c>
      <c r="G47" s="1" t="s">
        <v>61</v>
      </c>
      <c r="H47" s="1" t="s">
        <v>53</v>
      </c>
      <c r="I47" s="1" t="s">
        <v>60</v>
      </c>
      <c r="J47" s="1" t="s">
        <v>34</v>
      </c>
      <c r="K47" s="1" t="s">
        <v>61</v>
      </c>
      <c r="L47" s="1" t="s">
        <v>53</v>
      </c>
      <c r="M47" s="1" t="s">
        <v>60</v>
      </c>
      <c r="N47" s="1" t="s">
        <v>34</v>
      </c>
      <c r="O47" s="1" t="s">
        <v>61</v>
      </c>
      <c r="P47" s="1" t="s">
        <v>53</v>
      </c>
      <c r="Q47" s="1" t="s">
        <v>60</v>
      </c>
      <c r="R47" s="1" t="s">
        <v>34</v>
      </c>
      <c r="S47" s="1" t="s">
        <v>61</v>
      </c>
      <c r="T47" s="1" t="s">
        <v>53</v>
      </c>
      <c r="U47" s="1" t="s">
        <v>33</v>
      </c>
      <c r="V47" s="1" t="s">
        <v>33</v>
      </c>
      <c r="W47" s="1" t="s">
        <v>33</v>
      </c>
      <c r="X47" s="1" t="s">
        <v>33</v>
      </c>
      <c r="Y47" s="1" t="s">
        <v>34</v>
      </c>
      <c r="Z47" s="1" t="s">
        <v>34</v>
      </c>
      <c r="AA47" s="1" t="s">
        <v>33</v>
      </c>
      <c r="AB47" s="1" t="s">
        <v>33</v>
      </c>
      <c r="AC47" s="1" t="s">
        <v>33</v>
      </c>
      <c r="AD47" s="1" t="s">
        <v>33</v>
      </c>
      <c r="AE47" s="1" t="s">
        <v>33</v>
      </c>
      <c r="AF47" s="1" t="s">
        <v>34</v>
      </c>
      <c r="AG47" s="1" t="s">
        <v>34</v>
      </c>
      <c r="AH47" s="165" t="s">
        <v>78</v>
      </c>
      <c r="AI47" s="165" t="s">
        <v>78</v>
      </c>
      <c r="AJ47" s="165" t="s">
        <v>78</v>
      </c>
      <c r="AK47" s="165" t="s">
        <v>78</v>
      </c>
      <c r="AL47" s="1">
        <v>31</v>
      </c>
      <c r="AM47" s="1">
        <v>27</v>
      </c>
      <c r="AN47" s="168">
        <f t="shared" si="11"/>
        <v>0</v>
      </c>
      <c r="AO47" s="168">
        <f t="shared" si="12"/>
        <v>0</v>
      </c>
      <c r="AP47" s="168">
        <f t="shared" si="13"/>
        <v>0</v>
      </c>
      <c r="AQ47" s="168">
        <f t="shared" si="14"/>
        <v>0</v>
      </c>
      <c r="AR47" s="168"/>
      <c r="AS47" s="168">
        <f t="shared" si="15"/>
        <v>0</v>
      </c>
      <c r="AT47" s="168"/>
      <c r="AU47" s="168"/>
      <c r="AV47" s="168"/>
      <c r="AW47" s="168">
        <f t="shared" si="16"/>
        <v>4</v>
      </c>
      <c r="AX47" s="168"/>
      <c r="AY47" s="168"/>
      <c r="AZ47" s="168">
        <f t="shared" si="17"/>
        <v>0</v>
      </c>
      <c r="BA47" s="172"/>
      <c r="IH47" s="142"/>
      <c r="II47" s="142"/>
      <c r="IJ47" s="142"/>
      <c r="IK47" s="142"/>
      <c r="IL47" s="142"/>
      <c r="IM47" s="142"/>
      <c r="IN47" s="142"/>
    </row>
    <row r="48" s="135" customFormat="1" ht="12.95" customHeight="1" spans="1:248">
      <c r="A48" s="157">
        <f t="shared" si="10"/>
        <v>43</v>
      </c>
      <c r="B48" s="164" t="s">
        <v>41</v>
      </c>
      <c r="C48" s="1">
        <v>7642885</v>
      </c>
      <c r="D48" s="1" t="s">
        <v>103</v>
      </c>
      <c r="E48" s="1" t="s">
        <v>51</v>
      </c>
      <c r="F48" s="1" t="s">
        <v>52</v>
      </c>
      <c r="G48" s="1" t="s">
        <v>53</v>
      </c>
      <c r="H48" s="1" t="s">
        <v>60</v>
      </c>
      <c r="I48" s="1" t="s">
        <v>34</v>
      </c>
      <c r="J48" s="1" t="s">
        <v>61</v>
      </c>
      <c r="K48" s="1" t="s">
        <v>53</v>
      </c>
      <c r="L48" s="1" t="s">
        <v>60</v>
      </c>
      <c r="M48" s="1" t="s">
        <v>34</v>
      </c>
      <c r="N48" s="1" t="s">
        <v>61</v>
      </c>
      <c r="O48" s="1" t="s">
        <v>53</v>
      </c>
      <c r="P48" s="1" t="s">
        <v>60</v>
      </c>
      <c r="Q48" s="1" t="s">
        <v>34</v>
      </c>
      <c r="R48" s="1" t="s">
        <v>61</v>
      </c>
      <c r="S48" s="1" t="s">
        <v>53</v>
      </c>
      <c r="T48" s="1" t="s">
        <v>60</v>
      </c>
      <c r="U48" s="1" t="s">
        <v>34</v>
      </c>
      <c r="V48" s="1" t="s">
        <v>61</v>
      </c>
      <c r="W48" s="1" t="s">
        <v>53</v>
      </c>
      <c r="X48" s="1" t="s">
        <v>60</v>
      </c>
      <c r="Y48" s="1" t="s">
        <v>34</v>
      </c>
      <c r="Z48" s="1" t="s">
        <v>61</v>
      </c>
      <c r="AA48" s="1" t="s">
        <v>53</v>
      </c>
      <c r="AB48" s="1" t="s">
        <v>60</v>
      </c>
      <c r="AC48" s="1" t="s">
        <v>34</v>
      </c>
      <c r="AD48" s="1" t="s">
        <v>61</v>
      </c>
      <c r="AE48" s="1" t="s">
        <v>53</v>
      </c>
      <c r="AF48" s="1" t="s">
        <v>60</v>
      </c>
      <c r="AG48" s="1" t="s">
        <v>34</v>
      </c>
      <c r="AH48" s="1" t="s">
        <v>61</v>
      </c>
      <c r="AI48" s="1" t="s">
        <v>53</v>
      </c>
      <c r="AJ48" s="1" t="s">
        <v>60</v>
      </c>
      <c r="AK48" s="1" t="s">
        <v>34</v>
      </c>
      <c r="AL48" s="1">
        <v>31</v>
      </c>
      <c r="AM48" s="1">
        <v>31</v>
      </c>
      <c r="AN48" s="168">
        <f t="shared" si="11"/>
        <v>0</v>
      </c>
      <c r="AO48" s="168">
        <f t="shared" si="12"/>
        <v>0</v>
      </c>
      <c r="AP48" s="168">
        <f t="shared" si="13"/>
        <v>0</v>
      </c>
      <c r="AQ48" s="168">
        <f t="shared" si="14"/>
        <v>0</v>
      </c>
      <c r="AR48" s="168"/>
      <c r="AS48" s="168">
        <f t="shared" si="15"/>
        <v>0</v>
      </c>
      <c r="AT48" s="168"/>
      <c r="AU48" s="168"/>
      <c r="AV48" s="168"/>
      <c r="AW48" s="168">
        <f t="shared" si="16"/>
        <v>0</v>
      </c>
      <c r="AX48" s="168"/>
      <c r="AY48" s="168"/>
      <c r="AZ48" s="168">
        <f t="shared" si="17"/>
        <v>0</v>
      </c>
      <c r="BA48" s="172"/>
      <c r="IH48" s="142"/>
      <c r="II48" s="142"/>
      <c r="IJ48" s="142"/>
      <c r="IK48" s="142"/>
      <c r="IL48" s="142"/>
      <c r="IM48" s="142"/>
      <c r="IN48" s="142"/>
    </row>
    <row r="49" ht="12.95" customHeight="1" spans="1:53">
      <c r="A49" s="157">
        <f t="shared" ref="A49:A58" si="18">ROW()-5</f>
        <v>44</v>
      </c>
      <c r="B49" s="164" t="s">
        <v>41</v>
      </c>
      <c r="C49" s="1">
        <v>7642899</v>
      </c>
      <c r="D49" s="1" t="s">
        <v>104</v>
      </c>
      <c r="E49" s="1" t="s">
        <v>51</v>
      </c>
      <c r="F49" s="1" t="s">
        <v>52</v>
      </c>
      <c r="G49" s="1" t="s">
        <v>34</v>
      </c>
      <c r="H49" s="1" t="s">
        <v>61</v>
      </c>
      <c r="I49" s="1" t="s">
        <v>53</v>
      </c>
      <c r="J49" s="1" t="s">
        <v>60</v>
      </c>
      <c r="K49" s="1" t="s">
        <v>34</v>
      </c>
      <c r="L49" s="1" t="s">
        <v>61</v>
      </c>
      <c r="M49" s="1" t="s">
        <v>53</v>
      </c>
      <c r="N49" s="1" t="s">
        <v>60</v>
      </c>
      <c r="O49" s="1" t="s">
        <v>34</v>
      </c>
      <c r="P49" s="1" t="s">
        <v>61</v>
      </c>
      <c r="Q49" s="1" t="s">
        <v>53</v>
      </c>
      <c r="R49" s="1" t="s">
        <v>60</v>
      </c>
      <c r="S49" s="1" t="s">
        <v>34</v>
      </c>
      <c r="T49" s="1" t="s">
        <v>61</v>
      </c>
      <c r="U49" s="1" t="s">
        <v>53</v>
      </c>
      <c r="V49" s="1" t="s">
        <v>60</v>
      </c>
      <c r="W49" s="1" t="s">
        <v>34</v>
      </c>
      <c r="X49" s="1" t="s">
        <v>61</v>
      </c>
      <c r="Y49" s="1" t="s">
        <v>53</v>
      </c>
      <c r="Z49" s="1" t="s">
        <v>60</v>
      </c>
      <c r="AA49" s="1" t="s">
        <v>34</v>
      </c>
      <c r="AB49" s="1" t="s">
        <v>61</v>
      </c>
      <c r="AC49" s="1" t="s">
        <v>53</v>
      </c>
      <c r="AD49" s="1" t="s">
        <v>60</v>
      </c>
      <c r="AE49" s="1" t="s">
        <v>34</v>
      </c>
      <c r="AF49" s="1" t="s">
        <v>61</v>
      </c>
      <c r="AG49" s="1" t="s">
        <v>53</v>
      </c>
      <c r="AH49" s="1" t="s">
        <v>60</v>
      </c>
      <c r="AI49" s="1" t="s">
        <v>34</v>
      </c>
      <c r="AJ49" s="1" t="s">
        <v>61</v>
      </c>
      <c r="AK49" s="1" t="s">
        <v>53</v>
      </c>
      <c r="AL49" s="1">
        <v>31</v>
      </c>
      <c r="AM49" s="1">
        <v>31</v>
      </c>
      <c r="AN49" s="168">
        <f t="shared" si="11"/>
        <v>0</v>
      </c>
      <c r="AO49" s="168">
        <f t="shared" si="12"/>
        <v>0</v>
      </c>
      <c r="AP49" s="168">
        <f t="shared" si="13"/>
        <v>0</v>
      </c>
      <c r="AQ49" s="168">
        <f t="shared" si="14"/>
        <v>0</v>
      </c>
      <c r="AR49" s="168"/>
      <c r="AS49" s="168">
        <f t="shared" si="15"/>
        <v>0</v>
      </c>
      <c r="AT49" s="168"/>
      <c r="AU49" s="168"/>
      <c r="AV49" s="168"/>
      <c r="AW49" s="168">
        <f t="shared" si="16"/>
        <v>0</v>
      </c>
      <c r="AX49" s="168"/>
      <c r="AY49" s="168"/>
      <c r="AZ49" s="168">
        <f t="shared" si="17"/>
        <v>0</v>
      </c>
      <c r="BA49" s="172"/>
    </row>
    <row r="50" s="135" customFormat="1" ht="12.95" customHeight="1" spans="1:248">
      <c r="A50" s="157">
        <f t="shared" si="18"/>
        <v>45</v>
      </c>
      <c r="B50" s="158" t="s">
        <v>41</v>
      </c>
      <c r="C50" s="160" t="s">
        <v>105</v>
      </c>
      <c r="D50" s="160" t="s">
        <v>106</v>
      </c>
      <c r="E50" s="160" t="s">
        <v>51</v>
      </c>
      <c r="F50" s="160" t="s">
        <v>52</v>
      </c>
      <c r="G50" s="1" t="s">
        <v>60</v>
      </c>
      <c r="H50" s="160" t="s">
        <v>34</v>
      </c>
      <c r="I50" s="1" t="s">
        <v>61</v>
      </c>
      <c r="J50" s="160" t="s">
        <v>53</v>
      </c>
      <c r="K50" s="1" t="s">
        <v>60</v>
      </c>
      <c r="L50" s="1" t="s">
        <v>34</v>
      </c>
      <c r="M50" s="1" t="s">
        <v>61</v>
      </c>
      <c r="N50" s="1" t="s">
        <v>53</v>
      </c>
      <c r="O50" s="1" t="s">
        <v>60</v>
      </c>
      <c r="P50" s="165" t="s">
        <v>107</v>
      </c>
      <c r="Q50" s="165" t="s">
        <v>107</v>
      </c>
      <c r="R50" s="165" t="s">
        <v>107</v>
      </c>
      <c r="S50" s="165" t="s">
        <v>107</v>
      </c>
      <c r="T50" s="165" t="s">
        <v>107</v>
      </c>
      <c r="U50" s="165" t="s">
        <v>107</v>
      </c>
      <c r="V50" s="165" t="s">
        <v>107</v>
      </c>
      <c r="W50" s="165" t="s">
        <v>107</v>
      </c>
      <c r="X50" s="165" t="s">
        <v>107</v>
      </c>
      <c r="Y50" s="165" t="s">
        <v>107</v>
      </c>
      <c r="Z50" s="1" t="s">
        <v>34</v>
      </c>
      <c r="AA50" s="1" t="s">
        <v>34</v>
      </c>
      <c r="AB50" s="1" t="s">
        <v>61</v>
      </c>
      <c r="AC50" s="1" t="s">
        <v>53</v>
      </c>
      <c r="AD50" s="1" t="s">
        <v>60</v>
      </c>
      <c r="AE50" s="1" t="s">
        <v>34</v>
      </c>
      <c r="AF50" s="1" t="s">
        <v>61</v>
      </c>
      <c r="AG50" s="1" t="s">
        <v>53</v>
      </c>
      <c r="AH50" s="1" t="s">
        <v>60</v>
      </c>
      <c r="AI50" s="1" t="s">
        <v>34</v>
      </c>
      <c r="AJ50" s="1" t="s">
        <v>61</v>
      </c>
      <c r="AK50" s="1" t="s">
        <v>53</v>
      </c>
      <c r="AL50" s="1">
        <v>31</v>
      </c>
      <c r="AM50" s="1">
        <v>31</v>
      </c>
      <c r="AN50" s="168">
        <f t="shared" si="11"/>
        <v>0</v>
      </c>
      <c r="AO50" s="168">
        <f t="shared" si="12"/>
        <v>0</v>
      </c>
      <c r="AP50" s="168">
        <f t="shared" si="13"/>
        <v>0</v>
      </c>
      <c r="AQ50" s="168">
        <f t="shared" si="14"/>
        <v>0</v>
      </c>
      <c r="AR50" s="168"/>
      <c r="AS50" s="168">
        <f t="shared" si="15"/>
        <v>0</v>
      </c>
      <c r="AT50" s="168"/>
      <c r="AU50" s="168"/>
      <c r="AV50" s="168"/>
      <c r="AW50" s="168">
        <f t="shared" si="16"/>
        <v>0</v>
      </c>
      <c r="AX50" s="168"/>
      <c r="AY50" s="168"/>
      <c r="AZ50" s="168">
        <f t="shared" si="17"/>
        <v>0</v>
      </c>
      <c r="BA50" s="172"/>
      <c r="IH50" s="142"/>
      <c r="II50" s="142"/>
      <c r="IJ50" s="142"/>
      <c r="IK50" s="142"/>
      <c r="IL50" s="142"/>
      <c r="IM50" s="142"/>
      <c r="IN50" s="142"/>
    </row>
    <row r="51" s="135" customFormat="1" ht="12.95" customHeight="1" spans="1:248">
      <c r="A51" s="157">
        <f t="shared" si="18"/>
        <v>46</v>
      </c>
      <c r="B51" s="158" t="s">
        <v>41</v>
      </c>
      <c r="C51" s="159">
        <v>7612400</v>
      </c>
      <c r="D51" s="1" t="s">
        <v>108</v>
      </c>
      <c r="E51" s="1" t="s">
        <v>59</v>
      </c>
      <c r="F51" s="1" t="s">
        <v>52</v>
      </c>
      <c r="G51" s="1" t="s">
        <v>34</v>
      </c>
      <c r="H51" s="1" t="s">
        <v>34</v>
      </c>
      <c r="I51" s="1" t="s">
        <v>53</v>
      </c>
      <c r="J51" s="1" t="s">
        <v>54</v>
      </c>
      <c r="K51" s="1" t="s">
        <v>34</v>
      </c>
      <c r="L51" s="1" t="s">
        <v>34</v>
      </c>
      <c r="M51" s="1" t="s">
        <v>53</v>
      </c>
      <c r="N51" s="1" t="s">
        <v>54</v>
      </c>
      <c r="O51" s="1" t="s">
        <v>34</v>
      </c>
      <c r="P51" s="1" t="s">
        <v>53</v>
      </c>
      <c r="Q51" s="1" t="s">
        <v>54</v>
      </c>
      <c r="R51" s="1" t="s">
        <v>34</v>
      </c>
      <c r="S51" s="1" t="s">
        <v>53</v>
      </c>
      <c r="T51" s="1" t="s">
        <v>56</v>
      </c>
      <c r="U51" s="1" t="s">
        <v>56</v>
      </c>
      <c r="V51" s="1" t="s">
        <v>56</v>
      </c>
      <c r="W51" s="1" t="s">
        <v>56</v>
      </c>
      <c r="X51" s="1" t="s">
        <v>56</v>
      </c>
      <c r="Y51" s="1" t="s">
        <v>34</v>
      </c>
      <c r="Z51" s="1" t="s">
        <v>54</v>
      </c>
      <c r="AA51" s="1" t="s">
        <v>34</v>
      </c>
      <c r="AB51" s="1" t="s">
        <v>53</v>
      </c>
      <c r="AC51" s="1" t="s">
        <v>54</v>
      </c>
      <c r="AD51" s="1" t="s">
        <v>34</v>
      </c>
      <c r="AE51" s="1" t="s">
        <v>53</v>
      </c>
      <c r="AF51" s="1" t="s">
        <v>54</v>
      </c>
      <c r="AG51" s="1" t="s">
        <v>34</v>
      </c>
      <c r="AH51" s="1" t="s">
        <v>53</v>
      </c>
      <c r="AI51" s="1" t="s">
        <v>53</v>
      </c>
      <c r="AJ51" s="1" t="s">
        <v>54</v>
      </c>
      <c r="AK51" s="1" t="s">
        <v>34</v>
      </c>
      <c r="AL51" s="1">
        <v>31</v>
      </c>
      <c r="AM51" s="1">
        <v>26</v>
      </c>
      <c r="AN51" s="168">
        <f t="shared" si="11"/>
        <v>0</v>
      </c>
      <c r="AO51" s="168">
        <f t="shared" si="12"/>
        <v>0</v>
      </c>
      <c r="AP51" s="168">
        <f t="shared" si="13"/>
        <v>0</v>
      </c>
      <c r="AQ51" s="168">
        <f t="shared" si="14"/>
        <v>5</v>
      </c>
      <c r="AR51" s="168"/>
      <c r="AS51" s="168">
        <f t="shared" si="15"/>
        <v>0</v>
      </c>
      <c r="AT51" s="168"/>
      <c r="AU51" s="168"/>
      <c r="AV51" s="168"/>
      <c r="AW51" s="168">
        <f t="shared" si="16"/>
        <v>0</v>
      </c>
      <c r="AX51" s="168"/>
      <c r="AY51" s="168"/>
      <c r="AZ51" s="168">
        <f t="shared" si="17"/>
        <v>5</v>
      </c>
      <c r="BA51" s="172"/>
      <c r="IH51" s="142"/>
      <c r="II51" s="142"/>
      <c r="IJ51" s="142"/>
      <c r="IK51" s="142"/>
      <c r="IL51" s="142"/>
      <c r="IM51" s="142"/>
      <c r="IN51" s="142"/>
    </row>
    <row r="52" s="135" customFormat="1" ht="12.95" customHeight="1" spans="1:248">
      <c r="A52" s="157">
        <f t="shared" si="18"/>
        <v>47</v>
      </c>
      <c r="B52" s="158" t="s">
        <v>41</v>
      </c>
      <c r="C52" s="1" t="s">
        <v>109</v>
      </c>
      <c r="D52" s="1" t="s">
        <v>110</v>
      </c>
      <c r="E52" s="1" t="s">
        <v>51</v>
      </c>
      <c r="F52" s="1" t="s">
        <v>52</v>
      </c>
      <c r="G52" s="1" t="s">
        <v>34</v>
      </c>
      <c r="H52" s="1" t="s">
        <v>61</v>
      </c>
      <c r="I52" s="1" t="s">
        <v>53</v>
      </c>
      <c r="J52" s="1" t="s">
        <v>60</v>
      </c>
      <c r="K52" s="1" t="s">
        <v>34</v>
      </c>
      <c r="L52" s="1" t="s">
        <v>61</v>
      </c>
      <c r="M52" s="1" t="s">
        <v>53</v>
      </c>
      <c r="N52" s="1" t="s">
        <v>60</v>
      </c>
      <c r="O52" s="1" t="s">
        <v>34</v>
      </c>
      <c r="P52" s="1" t="s">
        <v>61</v>
      </c>
      <c r="Q52" s="1" t="s">
        <v>53</v>
      </c>
      <c r="R52" s="1" t="s">
        <v>60</v>
      </c>
      <c r="S52" s="1" t="s">
        <v>34</v>
      </c>
      <c r="T52" s="1" t="s">
        <v>61</v>
      </c>
      <c r="U52" s="1" t="s">
        <v>53</v>
      </c>
      <c r="V52" s="1" t="s">
        <v>60</v>
      </c>
      <c r="W52" s="1" t="s">
        <v>34</v>
      </c>
      <c r="X52" s="1" t="s">
        <v>61</v>
      </c>
      <c r="Y52" s="1" t="s">
        <v>61</v>
      </c>
      <c r="Z52" s="1" t="s">
        <v>53</v>
      </c>
      <c r="AA52" s="1" t="s">
        <v>60</v>
      </c>
      <c r="AB52" s="1" t="s">
        <v>34</v>
      </c>
      <c r="AC52" s="1" t="s">
        <v>61</v>
      </c>
      <c r="AD52" s="1" t="s">
        <v>53</v>
      </c>
      <c r="AE52" s="1" t="s">
        <v>60</v>
      </c>
      <c r="AF52" s="1" t="s">
        <v>61</v>
      </c>
      <c r="AG52" s="1" t="s">
        <v>53</v>
      </c>
      <c r="AH52" s="165" t="s">
        <v>43</v>
      </c>
      <c r="AI52" s="165" t="s">
        <v>43</v>
      </c>
      <c r="AJ52" s="165" t="s">
        <v>43</v>
      </c>
      <c r="AK52" s="165" t="s">
        <v>43</v>
      </c>
      <c r="AL52" s="1">
        <v>31</v>
      </c>
      <c r="AM52" s="1">
        <v>31</v>
      </c>
      <c r="AN52" s="168">
        <f t="shared" si="11"/>
        <v>0</v>
      </c>
      <c r="AO52" s="168">
        <f t="shared" si="12"/>
        <v>0</v>
      </c>
      <c r="AP52" s="168">
        <f t="shared" si="13"/>
        <v>0</v>
      </c>
      <c r="AQ52" s="168">
        <f t="shared" si="14"/>
        <v>0</v>
      </c>
      <c r="AR52" s="168"/>
      <c r="AS52" s="168">
        <f t="shared" si="15"/>
        <v>0</v>
      </c>
      <c r="AT52" s="168"/>
      <c r="AU52" s="168"/>
      <c r="AV52" s="168"/>
      <c r="AW52" s="168">
        <f t="shared" si="16"/>
        <v>0</v>
      </c>
      <c r="AX52" s="168"/>
      <c r="AY52" s="168"/>
      <c r="AZ52" s="168">
        <f t="shared" si="17"/>
        <v>0</v>
      </c>
      <c r="BA52" s="172" t="s">
        <v>111</v>
      </c>
      <c r="IH52" s="142"/>
      <c r="II52" s="142"/>
      <c r="IJ52" s="142"/>
      <c r="IK52" s="142"/>
      <c r="IL52" s="142"/>
      <c r="IM52" s="142"/>
      <c r="IN52" s="142"/>
    </row>
    <row r="53" s="135" customFormat="1" ht="12.95" customHeight="1" spans="1:248">
      <c r="A53" s="157">
        <f t="shared" si="18"/>
        <v>48</v>
      </c>
      <c r="B53" s="158" t="s">
        <v>41</v>
      </c>
      <c r="C53" s="1">
        <v>7612669</v>
      </c>
      <c r="D53" s="1" t="s">
        <v>112</v>
      </c>
      <c r="E53" s="1" t="s">
        <v>59</v>
      </c>
      <c r="F53" s="1" t="s">
        <v>52</v>
      </c>
      <c r="G53" s="1" t="s">
        <v>53</v>
      </c>
      <c r="H53" s="1" t="s">
        <v>34</v>
      </c>
      <c r="I53" s="1" t="s">
        <v>53</v>
      </c>
      <c r="J53" s="1" t="s">
        <v>54</v>
      </c>
      <c r="K53" s="1" t="s">
        <v>34</v>
      </c>
      <c r="L53" s="1" t="s">
        <v>34</v>
      </c>
      <c r="M53" s="1" t="s">
        <v>53</v>
      </c>
      <c r="N53" s="1" t="s">
        <v>54</v>
      </c>
      <c r="O53" s="1" t="s">
        <v>34</v>
      </c>
      <c r="P53" s="1" t="s">
        <v>53</v>
      </c>
      <c r="Q53" s="1" t="s">
        <v>54</v>
      </c>
      <c r="R53" s="1" t="s">
        <v>34</v>
      </c>
      <c r="S53" s="1" t="s">
        <v>75</v>
      </c>
      <c r="T53" s="1" t="s">
        <v>75</v>
      </c>
      <c r="U53" s="1" t="s">
        <v>34</v>
      </c>
      <c r="V53" s="1" t="s">
        <v>53</v>
      </c>
      <c r="W53" s="1" t="s">
        <v>54</v>
      </c>
      <c r="X53" s="1" t="s">
        <v>34</v>
      </c>
      <c r="Y53" s="1" t="s">
        <v>34</v>
      </c>
      <c r="Z53" s="1" t="s">
        <v>61</v>
      </c>
      <c r="AA53" s="1" t="s">
        <v>53</v>
      </c>
      <c r="AB53" s="1" t="s">
        <v>60</v>
      </c>
      <c r="AC53" s="165" t="s">
        <v>43</v>
      </c>
      <c r="AD53" s="165" t="s">
        <v>43</v>
      </c>
      <c r="AE53" s="1" t="s">
        <v>34</v>
      </c>
      <c r="AF53" s="1" t="s">
        <v>34</v>
      </c>
      <c r="AG53" s="1" t="s">
        <v>54</v>
      </c>
      <c r="AH53" s="1" t="s">
        <v>34</v>
      </c>
      <c r="AI53" s="165" t="s">
        <v>43</v>
      </c>
      <c r="AJ53" s="165" t="s">
        <v>43</v>
      </c>
      <c r="AK53" s="1" t="s">
        <v>34</v>
      </c>
      <c r="AL53" s="1">
        <v>31</v>
      </c>
      <c r="AM53" s="1">
        <v>29</v>
      </c>
      <c r="AN53" s="168">
        <f t="shared" si="11"/>
        <v>2</v>
      </c>
      <c r="AO53" s="168">
        <f t="shared" si="12"/>
        <v>0</v>
      </c>
      <c r="AP53" s="168">
        <f t="shared" si="13"/>
        <v>0</v>
      </c>
      <c r="AQ53" s="168">
        <f t="shared" si="14"/>
        <v>0</v>
      </c>
      <c r="AR53" s="168"/>
      <c r="AS53" s="168">
        <f t="shared" si="15"/>
        <v>0</v>
      </c>
      <c r="AT53" s="168"/>
      <c r="AU53" s="168"/>
      <c r="AV53" s="168"/>
      <c r="AW53" s="168">
        <f t="shared" si="16"/>
        <v>0</v>
      </c>
      <c r="AX53" s="168"/>
      <c r="AY53" s="168"/>
      <c r="AZ53" s="168">
        <f t="shared" si="17"/>
        <v>2</v>
      </c>
      <c r="BA53" s="172" t="s">
        <v>63</v>
      </c>
      <c r="IH53" s="142"/>
      <c r="II53" s="142"/>
      <c r="IJ53" s="142"/>
      <c r="IK53" s="142"/>
      <c r="IL53" s="142"/>
      <c r="IM53" s="142"/>
      <c r="IN53" s="142"/>
    </row>
    <row r="54" s="135" customFormat="1" ht="12.95" customHeight="1" spans="1:248">
      <c r="A54" s="157">
        <f t="shared" si="18"/>
        <v>49</v>
      </c>
      <c r="B54" s="158" t="s">
        <v>41</v>
      </c>
      <c r="C54" s="1">
        <v>7642726</v>
      </c>
      <c r="D54" s="1" t="s">
        <v>113</v>
      </c>
      <c r="E54" s="1" t="s">
        <v>51</v>
      </c>
      <c r="F54" s="1" t="s">
        <v>52</v>
      </c>
      <c r="G54" s="1" t="s">
        <v>61</v>
      </c>
      <c r="H54" s="1" t="s">
        <v>53</v>
      </c>
      <c r="I54" s="1" t="s">
        <v>60</v>
      </c>
      <c r="J54" s="1" t="s">
        <v>34</v>
      </c>
      <c r="K54" s="1" t="s">
        <v>61</v>
      </c>
      <c r="L54" s="1" t="s">
        <v>33</v>
      </c>
      <c r="M54" s="1" t="s">
        <v>33</v>
      </c>
      <c r="N54" s="1" t="s">
        <v>33</v>
      </c>
      <c r="O54" s="1" t="s">
        <v>61</v>
      </c>
      <c r="P54" s="1" t="s">
        <v>53</v>
      </c>
      <c r="Q54" s="1" t="s">
        <v>60</v>
      </c>
      <c r="R54" s="1" t="s">
        <v>34</v>
      </c>
      <c r="S54" s="1" t="s">
        <v>34</v>
      </c>
      <c r="T54" s="165" t="s">
        <v>43</v>
      </c>
      <c r="U54" s="165" t="s">
        <v>43</v>
      </c>
      <c r="V54" s="165" t="s">
        <v>43</v>
      </c>
      <c r="W54" s="165" t="s">
        <v>43</v>
      </c>
      <c r="X54" s="165" t="s">
        <v>43</v>
      </c>
      <c r="Y54" s="1" t="s">
        <v>34</v>
      </c>
      <c r="Z54" s="1" t="s">
        <v>61</v>
      </c>
      <c r="AA54" s="1" t="s">
        <v>53</v>
      </c>
      <c r="AB54" s="1" t="s">
        <v>60</v>
      </c>
      <c r="AC54" s="1" t="s">
        <v>34</v>
      </c>
      <c r="AD54" s="1" t="s">
        <v>34</v>
      </c>
      <c r="AE54" s="1" t="s">
        <v>33</v>
      </c>
      <c r="AF54" s="1" t="s">
        <v>61</v>
      </c>
      <c r="AG54" s="1" t="s">
        <v>53</v>
      </c>
      <c r="AH54" s="1" t="s">
        <v>60</v>
      </c>
      <c r="AI54" s="1" t="s">
        <v>60</v>
      </c>
      <c r="AJ54" s="1" t="s">
        <v>61</v>
      </c>
      <c r="AK54" s="1" t="s">
        <v>53</v>
      </c>
      <c r="AL54" s="1">
        <v>31</v>
      </c>
      <c r="AM54" s="1">
        <v>31</v>
      </c>
      <c r="AN54" s="168">
        <f t="shared" si="11"/>
        <v>0</v>
      </c>
      <c r="AO54" s="168">
        <f t="shared" si="12"/>
        <v>0</v>
      </c>
      <c r="AP54" s="168">
        <f t="shared" si="13"/>
        <v>0</v>
      </c>
      <c r="AQ54" s="168">
        <f t="shared" si="14"/>
        <v>0</v>
      </c>
      <c r="AR54" s="168"/>
      <c r="AS54" s="168">
        <f t="shared" si="15"/>
        <v>0</v>
      </c>
      <c r="AT54" s="168"/>
      <c r="AU54" s="168"/>
      <c r="AV54" s="168"/>
      <c r="AW54" s="168">
        <f t="shared" si="16"/>
        <v>0</v>
      </c>
      <c r="AX54" s="168"/>
      <c r="AY54" s="168"/>
      <c r="AZ54" s="168">
        <f t="shared" si="17"/>
        <v>0</v>
      </c>
      <c r="BA54" s="172" t="s">
        <v>70</v>
      </c>
      <c r="IH54" s="142"/>
      <c r="II54" s="142"/>
      <c r="IJ54" s="142"/>
      <c r="IK54" s="142"/>
      <c r="IL54" s="142"/>
      <c r="IM54" s="142"/>
      <c r="IN54" s="142"/>
    </row>
    <row r="55" s="135" customFormat="1" ht="12.95" customHeight="1" spans="1:248">
      <c r="A55" s="157">
        <f t="shared" si="18"/>
        <v>50</v>
      </c>
      <c r="B55" s="158" t="s">
        <v>41</v>
      </c>
      <c r="C55" s="1">
        <v>7612641</v>
      </c>
      <c r="D55" s="1" t="s">
        <v>114</v>
      </c>
      <c r="E55" s="1" t="s">
        <v>59</v>
      </c>
      <c r="F55" s="1" t="s">
        <v>52</v>
      </c>
      <c r="G55" s="1" t="s">
        <v>60</v>
      </c>
      <c r="H55" s="1" t="s">
        <v>34</v>
      </c>
      <c r="I55" s="1" t="s">
        <v>61</v>
      </c>
      <c r="J55" s="1" t="s">
        <v>53</v>
      </c>
      <c r="K55" s="1" t="s">
        <v>60</v>
      </c>
      <c r="L55" s="1" t="s">
        <v>34</v>
      </c>
      <c r="M55" s="1" t="s">
        <v>61</v>
      </c>
      <c r="N55" s="1" t="s">
        <v>53</v>
      </c>
      <c r="O55" s="1" t="s">
        <v>60</v>
      </c>
      <c r="P55" s="1" t="s">
        <v>34</v>
      </c>
      <c r="Q55" s="1" t="s">
        <v>61</v>
      </c>
      <c r="R55" s="1" t="s">
        <v>53</v>
      </c>
      <c r="S55" s="1" t="s">
        <v>60</v>
      </c>
      <c r="T55" s="1" t="s">
        <v>34</v>
      </c>
      <c r="U55" s="1" t="s">
        <v>61</v>
      </c>
      <c r="V55" s="1" t="s">
        <v>53</v>
      </c>
      <c r="W55" s="154" t="s">
        <v>60</v>
      </c>
      <c r="X55" s="1" t="s">
        <v>34</v>
      </c>
      <c r="Y55" s="1" t="s">
        <v>61</v>
      </c>
      <c r="Z55" s="1" t="s">
        <v>53</v>
      </c>
      <c r="AA55" s="1" t="s">
        <v>60</v>
      </c>
      <c r="AB55" s="1" t="s">
        <v>34</v>
      </c>
      <c r="AC55" s="1" t="s">
        <v>61</v>
      </c>
      <c r="AD55" s="1" t="s">
        <v>53</v>
      </c>
      <c r="AE55" s="1" t="s">
        <v>60</v>
      </c>
      <c r="AF55" s="1" t="s">
        <v>34</v>
      </c>
      <c r="AG55" s="1" t="s">
        <v>61</v>
      </c>
      <c r="AH55" s="1" t="s">
        <v>53</v>
      </c>
      <c r="AI55" s="154" t="s">
        <v>60</v>
      </c>
      <c r="AJ55" s="1" t="s">
        <v>34</v>
      </c>
      <c r="AK55" s="1" t="s">
        <v>61</v>
      </c>
      <c r="AL55" s="1">
        <v>31</v>
      </c>
      <c r="AM55" s="1">
        <v>31</v>
      </c>
      <c r="AN55" s="168">
        <f t="shared" si="11"/>
        <v>0</v>
      </c>
      <c r="AO55" s="168">
        <f t="shared" si="12"/>
        <v>0</v>
      </c>
      <c r="AP55" s="168">
        <f t="shared" si="13"/>
        <v>0</v>
      </c>
      <c r="AQ55" s="168">
        <f t="shared" si="14"/>
        <v>0</v>
      </c>
      <c r="AR55" s="168"/>
      <c r="AS55" s="168">
        <f t="shared" si="15"/>
        <v>0</v>
      </c>
      <c r="AT55" s="168"/>
      <c r="AU55" s="168"/>
      <c r="AV55" s="168"/>
      <c r="AW55" s="168">
        <f t="shared" si="16"/>
        <v>0</v>
      </c>
      <c r="AX55" s="168"/>
      <c r="AY55" s="168"/>
      <c r="AZ55" s="168">
        <f t="shared" si="17"/>
        <v>0</v>
      </c>
      <c r="BA55" s="172"/>
      <c r="IH55" s="142"/>
      <c r="II55" s="142"/>
      <c r="IJ55" s="142"/>
      <c r="IK55" s="142"/>
      <c r="IL55" s="142"/>
      <c r="IM55" s="142"/>
      <c r="IN55" s="142"/>
    </row>
    <row r="56" s="135" customFormat="1" ht="12.95" customHeight="1" spans="1:248">
      <c r="A56" s="157">
        <f t="shared" si="18"/>
        <v>51</v>
      </c>
      <c r="B56" s="158" t="s">
        <v>41</v>
      </c>
      <c r="C56" s="1" t="s">
        <v>115</v>
      </c>
      <c r="D56" s="1" t="s">
        <v>116</v>
      </c>
      <c r="E56" s="1" t="s">
        <v>59</v>
      </c>
      <c r="F56" s="1" t="s">
        <v>52</v>
      </c>
      <c r="G56" s="1" t="s">
        <v>34</v>
      </c>
      <c r="H56" s="1" t="s">
        <v>61</v>
      </c>
      <c r="I56" s="1" t="s">
        <v>53</v>
      </c>
      <c r="J56" s="1" t="s">
        <v>60</v>
      </c>
      <c r="K56" s="1" t="s">
        <v>34</v>
      </c>
      <c r="L56" s="1" t="s">
        <v>34</v>
      </c>
      <c r="M56" s="1" t="s">
        <v>53</v>
      </c>
      <c r="N56" s="1" t="s">
        <v>54</v>
      </c>
      <c r="O56" s="1" t="s">
        <v>34</v>
      </c>
      <c r="P56" s="1" t="s">
        <v>34</v>
      </c>
      <c r="Q56" s="1" t="s">
        <v>53</v>
      </c>
      <c r="R56" s="1" t="s">
        <v>54</v>
      </c>
      <c r="S56" s="1" t="s">
        <v>34</v>
      </c>
      <c r="T56" s="1" t="s">
        <v>34</v>
      </c>
      <c r="U56" s="1" t="s">
        <v>34</v>
      </c>
      <c r="V56" s="1" t="s">
        <v>61</v>
      </c>
      <c r="W56" s="1" t="s">
        <v>53</v>
      </c>
      <c r="X56" s="1" t="s">
        <v>60</v>
      </c>
      <c r="Y56" s="1" t="s">
        <v>34</v>
      </c>
      <c r="Z56" s="1" t="s">
        <v>61</v>
      </c>
      <c r="AA56" s="1" t="s">
        <v>53</v>
      </c>
      <c r="AB56" s="1" t="s">
        <v>60</v>
      </c>
      <c r="AC56" s="1" t="s">
        <v>34</v>
      </c>
      <c r="AD56" s="1" t="s">
        <v>61</v>
      </c>
      <c r="AE56" s="165" t="s">
        <v>43</v>
      </c>
      <c r="AF56" s="165" t="s">
        <v>43</v>
      </c>
      <c r="AG56" s="1" t="s">
        <v>61</v>
      </c>
      <c r="AH56" s="1" t="s">
        <v>53</v>
      </c>
      <c r="AI56" s="1" t="s">
        <v>34</v>
      </c>
      <c r="AJ56" s="165" t="s">
        <v>43</v>
      </c>
      <c r="AK56" s="165" t="s">
        <v>43</v>
      </c>
      <c r="AL56" s="1">
        <v>31</v>
      </c>
      <c r="AM56" s="1">
        <v>31</v>
      </c>
      <c r="AN56" s="168">
        <f t="shared" si="11"/>
        <v>0</v>
      </c>
      <c r="AO56" s="168">
        <f t="shared" si="12"/>
        <v>0</v>
      </c>
      <c r="AP56" s="168">
        <f t="shared" si="13"/>
        <v>0</v>
      </c>
      <c r="AQ56" s="168">
        <f t="shared" si="14"/>
        <v>0</v>
      </c>
      <c r="AR56" s="168"/>
      <c r="AS56" s="168">
        <f t="shared" si="15"/>
        <v>0</v>
      </c>
      <c r="AT56" s="168"/>
      <c r="AU56" s="168"/>
      <c r="AV56" s="168"/>
      <c r="AW56" s="168">
        <f t="shared" si="16"/>
        <v>0</v>
      </c>
      <c r="AX56" s="168"/>
      <c r="AY56" s="168"/>
      <c r="AZ56" s="168">
        <f t="shared" si="17"/>
        <v>0</v>
      </c>
      <c r="BA56" s="172" t="s">
        <v>96</v>
      </c>
      <c r="IH56" s="142"/>
      <c r="II56" s="142"/>
      <c r="IJ56" s="142"/>
      <c r="IK56" s="142"/>
      <c r="IL56" s="142"/>
      <c r="IM56" s="142"/>
      <c r="IN56" s="142"/>
    </row>
    <row r="57" s="135" customFormat="1" ht="12.95" customHeight="1" spans="1:248">
      <c r="A57" s="157">
        <f t="shared" si="18"/>
        <v>52</v>
      </c>
      <c r="B57" s="158" t="s">
        <v>41</v>
      </c>
      <c r="C57" s="1">
        <v>7613153</v>
      </c>
      <c r="D57" s="1" t="s">
        <v>117</v>
      </c>
      <c r="E57" s="1" t="s">
        <v>59</v>
      </c>
      <c r="F57" s="1" t="s">
        <v>52</v>
      </c>
      <c r="G57" s="1" t="s">
        <v>34</v>
      </c>
      <c r="H57" s="1" t="s">
        <v>61</v>
      </c>
      <c r="I57" s="1" t="s">
        <v>53</v>
      </c>
      <c r="J57" s="1" t="s">
        <v>60</v>
      </c>
      <c r="K57" s="1" t="s">
        <v>34</v>
      </c>
      <c r="L57" s="1" t="s">
        <v>61</v>
      </c>
      <c r="M57" s="1" t="s">
        <v>53</v>
      </c>
      <c r="N57" s="1" t="s">
        <v>60</v>
      </c>
      <c r="O57" s="1" t="s">
        <v>34</v>
      </c>
      <c r="P57" s="1" t="s">
        <v>61</v>
      </c>
      <c r="Q57" s="1" t="s">
        <v>53</v>
      </c>
      <c r="R57" s="1" t="s">
        <v>60</v>
      </c>
      <c r="S57" s="1" t="s">
        <v>34</v>
      </c>
      <c r="T57" s="1" t="s">
        <v>61</v>
      </c>
      <c r="U57" s="1" t="s">
        <v>53</v>
      </c>
      <c r="V57" s="1" t="s">
        <v>60</v>
      </c>
      <c r="W57" s="1" t="s">
        <v>34</v>
      </c>
      <c r="X57" s="1" t="s">
        <v>61</v>
      </c>
      <c r="Y57" s="1" t="s">
        <v>53</v>
      </c>
      <c r="Z57" s="1" t="s">
        <v>60</v>
      </c>
      <c r="AA57" s="1" t="s">
        <v>34</v>
      </c>
      <c r="AB57" s="1" t="s">
        <v>61</v>
      </c>
      <c r="AC57" s="1" t="s">
        <v>53</v>
      </c>
      <c r="AD57" s="1" t="s">
        <v>60</v>
      </c>
      <c r="AE57" s="1" t="s">
        <v>34</v>
      </c>
      <c r="AF57" s="1" t="s">
        <v>61</v>
      </c>
      <c r="AG57" s="1" t="s">
        <v>53</v>
      </c>
      <c r="AH57" s="1" t="s">
        <v>60</v>
      </c>
      <c r="AI57" s="1" t="s">
        <v>60</v>
      </c>
      <c r="AJ57" s="1" t="s">
        <v>61</v>
      </c>
      <c r="AK57" s="1" t="s">
        <v>53</v>
      </c>
      <c r="AL57" s="1">
        <v>31</v>
      </c>
      <c r="AM57" s="1">
        <v>31</v>
      </c>
      <c r="AN57" s="168">
        <f t="shared" si="11"/>
        <v>0</v>
      </c>
      <c r="AO57" s="168">
        <f t="shared" si="12"/>
        <v>0</v>
      </c>
      <c r="AP57" s="168">
        <f t="shared" si="13"/>
        <v>0</v>
      </c>
      <c r="AQ57" s="168">
        <f t="shared" si="14"/>
        <v>0</v>
      </c>
      <c r="AR57" s="168"/>
      <c r="AS57" s="168">
        <f t="shared" si="15"/>
        <v>0</v>
      </c>
      <c r="AT57" s="168"/>
      <c r="AU57" s="168"/>
      <c r="AV57" s="168"/>
      <c r="AW57" s="168">
        <f t="shared" si="16"/>
        <v>0</v>
      </c>
      <c r="AX57" s="168"/>
      <c r="AY57" s="168"/>
      <c r="AZ57" s="168">
        <f t="shared" si="17"/>
        <v>0</v>
      </c>
      <c r="BA57" s="172"/>
      <c r="IH57" s="142"/>
      <c r="II57" s="142"/>
      <c r="IJ57" s="142"/>
      <c r="IK57" s="142"/>
      <c r="IL57" s="142"/>
      <c r="IM57" s="142"/>
      <c r="IN57" s="142"/>
    </row>
    <row r="58" s="135" customFormat="1" ht="12.95" customHeight="1" spans="1:248">
      <c r="A58" s="157">
        <f t="shared" si="18"/>
        <v>53</v>
      </c>
      <c r="B58" s="164" t="s">
        <v>41</v>
      </c>
      <c r="C58" s="1">
        <v>7612379</v>
      </c>
      <c r="D58" s="1" t="s">
        <v>118</v>
      </c>
      <c r="E58" s="1" t="s">
        <v>59</v>
      </c>
      <c r="F58" s="1" t="s">
        <v>52</v>
      </c>
      <c r="G58" s="1" t="s">
        <v>61</v>
      </c>
      <c r="H58" s="1" t="s">
        <v>53</v>
      </c>
      <c r="I58" s="1" t="s">
        <v>60</v>
      </c>
      <c r="J58" s="1" t="s">
        <v>34</v>
      </c>
      <c r="K58" s="1" t="s">
        <v>61</v>
      </c>
      <c r="L58" s="1" t="s">
        <v>53</v>
      </c>
      <c r="M58" s="1" t="s">
        <v>60</v>
      </c>
      <c r="N58" s="1" t="s">
        <v>34</v>
      </c>
      <c r="O58" s="1" t="s">
        <v>61</v>
      </c>
      <c r="P58" s="1" t="s">
        <v>53</v>
      </c>
      <c r="Q58" s="1" t="s">
        <v>60</v>
      </c>
      <c r="R58" s="1" t="s">
        <v>34</v>
      </c>
      <c r="S58" s="1" t="s">
        <v>61</v>
      </c>
      <c r="T58" s="1" t="s">
        <v>53</v>
      </c>
      <c r="U58" s="1" t="s">
        <v>60</v>
      </c>
      <c r="V58" s="1" t="s">
        <v>34</v>
      </c>
      <c r="W58" s="1" t="s">
        <v>61</v>
      </c>
      <c r="X58" s="1" t="s">
        <v>53</v>
      </c>
      <c r="Y58" s="1" t="s">
        <v>60</v>
      </c>
      <c r="Z58" s="1" t="s">
        <v>34</v>
      </c>
      <c r="AA58" s="1" t="s">
        <v>75</v>
      </c>
      <c r="AB58" s="1" t="s">
        <v>75</v>
      </c>
      <c r="AC58" s="1" t="s">
        <v>75</v>
      </c>
      <c r="AD58" s="1" t="s">
        <v>34</v>
      </c>
      <c r="AE58" s="165" t="s">
        <v>43</v>
      </c>
      <c r="AF58" s="165" t="s">
        <v>43</v>
      </c>
      <c r="AG58" s="160" t="s">
        <v>34</v>
      </c>
      <c r="AH58" s="165" t="s">
        <v>43</v>
      </c>
      <c r="AI58" s="165" t="s">
        <v>43</v>
      </c>
      <c r="AJ58" s="1" t="s">
        <v>61</v>
      </c>
      <c r="AK58" s="1" t="s">
        <v>53</v>
      </c>
      <c r="AL58" s="1">
        <v>31</v>
      </c>
      <c r="AM58" s="1">
        <v>28</v>
      </c>
      <c r="AN58" s="168">
        <f t="shared" si="11"/>
        <v>3</v>
      </c>
      <c r="AO58" s="168">
        <f t="shared" si="12"/>
        <v>0</v>
      </c>
      <c r="AP58" s="168">
        <f t="shared" si="13"/>
        <v>0</v>
      </c>
      <c r="AQ58" s="168">
        <f t="shared" si="14"/>
        <v>0</v>
      </c>
      <c r="AR58" s="168"/>
      <c r="AS58" s="168">
        <f t="shared" si="15"/>
        <v>0</v>
      </c>
      <c r="AT58" s="168"/>
      <c r="AU58" s="168"/>
      <c r="AV58" s="168"/>
      <c r="AW58" s="168">
        <f t="shared" si="16"/>
        <v>0</v>
      </c>
      <c r="AX58" s="168"/>
      <c r="AY58" s="168"/>
      <c r="AZ58" s="168">
        <f t="shared" si="17"/>
        <v>3</v>
      </c>
      <c r="BA58" s="172" t="s">
        <v>96</v>
      </c>
      <c r="IH58" s="142"/>
      <c r="II58" s="142"/>
      <c r="IJ58" s="142"/>
      <c r="IK58" s="142"/>
      <c r="IL58" s="142"/>
      <c r="IM58" s="142"/>
      <c r="IN58" s="142"/>
    </row>
    <row r="59" s="135" customFormat="1" ht="12.95" customHeight="1" spans="1:248">
      <c r="A59" s="157">
        <f t="shared" ref="A59:A68" si="19">ROW()-5</f>
        <v>54</v>
      </c>
      <c r="B59" s="158" t="s">
        <v>41</v>
      </c>
      <c r="C59" s="1">
        <v>7610693</v>
      </c>
      <c r="D59" s="1" t="s">
        <v>119</v>
      </c>
      <c r="E59" s="1" t="s">
        <v>51</v>
      </c>
      <c r="F59" s="1" t="s">
        <v>52</v>
      </c>
      <c r="G59" s="1" t="s">
        <v>34</v>
      </c>
      <c r="H59" s="1" t="s">
        <v>61</v>
      </c>
      <c r="I59" s="1" t="s">
        <v>53</v>
      </c>
      <c r="J59" s="1" t="s">
        <v>60</v>
      </c>
      <c r="K59" s="1" t="s">
        <v>34</v>
      </c>
      <c r="L59" s="1" t="s">
        <v>61</v>
      </c>
      <c r="M59" s="1" t="s">
        <v>53</v>
      </c>
      <c r="N59" s="1" t="s">
        <v>60</v>
      </c>
      <c r="O59" s="1" t="s">
        <v>34</v>
      </c>
      <c r="P59" s="1" t="s">
        <v>61</v>
      </c>
      <c r="Q59" s="1" t="s">
        <v>53</v>
      </c>
      <c r="R59" s="1" t="s">
        <v>60</v>
      </c>
      <c r="S59" s="1" t="s">
        <v>34</v>
      </c>
      <c r="T59" s="1" t="s">
        <v>61</v>
      </c>
      <c r="U59" s="1" t="s">
        <v>53</v>
      </c>
      <c r="V59" s="1" t="s">
        <v>60</v>
      </c>
      <c r="W59" s="1" t="s">
        <v>34</v>
      </c>
      <c r="X59" s="1" t="s">
        <v>61</v>
      </c>
      <c r="Y59" s="1" t="s">
        <v>53</v>
      </c>
      <c r="Z59" s="1" t="s">
        <v>60</v>
      </c>
      <c r="AA59" s="1" t="s">
        <v>34</v>
      </c>
      <c r="AB59" s="1" t="s">
        <v>61</v>
      </c>
      <c r="AC59" s="1" t="s">
        <v>53</v>
      </c>
      <c r="AD59" s="1" t="s">
        <v>60</v>
      </c>
      <c r="AE59" s="1" t="s">
        <v>34</v>
      </c>
      <c r="AF59" s="1" t="s">
        <v>61</v>
      </c>
      <c r="AG59" s="1" t="s">
        <v>53</v>
      </c>
      <c r="AH59" s="1" t="s">
        <v>60</v>
      </c>
      <c r="AI59" s="1" t="s">
        <v>34</v>
      </c>
      <c r="AJ59" s="1" t="s">
        <v>61</v>
      </c>
      <c r="AK59" s="1" t="s">
        <v>53</v>
      </c>
      <c r="AL59" s="1">
        <v>31</v>
      </c>
      <c r="AM59" s="1">
        <v>31</v>
      </c>
      <c r="AN59" s="168">
        <f t="shared" si="11"/>
        <v>0</v>
      </c>
      <c r="AO59" s="168">
        <f t="shared" si="12"/>
        <v>0</v>
      </c>
      <c r="AP59" s="168">
        <f t="shared" si="13"/>
        <v>0</v>
      </c>
      <c r="AQ59" s="168">
        <f t="shared" si="14"/>
        <v>0</v>
      </c>
      <c r="AR59" s="168"/>
      <c r="AS59" s="168">
        <f t="shared" si="15"/>
        <v>0</v>
      </c>
      <c r="AT59" s="168"/>
      <c r="AU59" s="168"/>
      <c r="AV59" s="168"/>
      <c r="AW59" s="168">
        <f t="shared" si="16"/>
        <v>0</v>
      </c>
      <c r="AX59" s="168"/>
      <c r="AY59" s="168"/>
      <c r="AZ59" s="168">
        <f t="shared" si="17"/>
        <v>0</v>
      </c>
      <c r="BA59" s="172"/>
      <c r="IH59" s="142"/>
      <c r="II59" s="142"/>
      <c r="IJ59" s="142"/>
      <c r="IK59" s="142"/>
      <c r="IL59" s="142"/>
      <c r="IM59" s="142"/>
      <c r="IN59" s="142"/>
    </row>
    <row r="60" ht="12.95" customHeight="1" spans="1:53">
      <c r="A60" s="157">
        <f t="shared" si="19"/>
        <v>55</v>
      </c>
      <c r="B60" s="158" t="s">
        <v>41</v>
      </c>
      <c r="C60" s="1">
        <v>7613069</v>
      </c>
      <c r="D60" s="1" t="s">
        <v>120</v>
      </c>
      <c r="E60" s="1" t="s">
        <v>59</v>
      </c>
      <c r="F60" s="1" t="s">
        <v>52</v>
      </c>
      <c r="G60" s="1" t="s">
        <v>53</v>
      </c>
      <c r="H60" s="1" t="s">
        <v>60</v>
      </c>
      <c r="I60" s="1" t="s">
        <v>34</v>
      </c>
      <c r="J60" s="1" t="s">
        <v>61</v>
      </c>
      <c r="K60" s="1" t="s">
        <v>53</v>
      </c>
      <c r="L60" s="1" t="s">
        <v>60</v>
      </c>
      <c r="M60" s="1" t="s">
        <v>34</v>
      </c>
      <c r="N60" s="1" t="s">
        <v>61</v>
      </c>
      <c r="O60" s="1" t="s">
        <v>53</v>
      </c>
      <c r="P60" s="1" t="s">
        <v>60</v>
      </c>
      <c r="Q60" s="1" t="s">
        <v>34</v>
      </c>
      <c r="R60" s="1" t="s">
        <v>61</v>
      </c>
      <c r="S60" s="1" t="s">
        <v>53</v>
      </c>
      <c r="T60" s="1" t="s">
        <v>60</v>
      </c>
      <c r="U60" s="1" t="s">
        <v>34</v>
      </c>
      <c r="V60" s="1" t="s">
        <v>61</v>
      </c>
      <c r="W60" s="1" t="s">
        <v>53</v>
      </c>
      <c r="X60" s="1" t="s">
        <v>60</v>
      </c>
      <c r="Y60" s="1" t="s">
        <v>34</v>
      </c>
      <c r="Z60" s="1" t="s">
        <v>61</v>
      </c>
      <c r="AA60" s="1" t="s">
        <v>53</v>
      </c>
      <c r="AB60" s="1" t="s">
        <v>60</v>
      </c>
      <c r="AC60" s="1" t="s">
        <v>34</v>
      </c>
      <c r="AD60" s="1" t="s">
        <v>61</v>
      </c>
      <c r="AE60" s="1" t="s">
        <v>53</v>
      </c>
      <c r="AF60" s="1" t="s">
        <v>60</v>
      </c>
      <c r="AG60" s="1" t="s">
        <v>34</v>
      </c>
      <c r="AH60" s="1" t="s">
        <v>61</v>
      </c>
      <c r="AI60" s="1" t="s">
        <v>53</v>
      </c>
      <c r="AJ60" s="1" t="s">
        <v>60</v>
      </c>
      <c r="AK60" s="1" t="s">
        <v>34</v>
      </c>
      <c r="AL60" s="1">
        <v>31</v>
      </c>
      <c r="AM60" s="1">
        <v>31</v>
      </c>
      <c r="AN60" s="168">
        <f t="shared" si="11"/>
        <v>0</v>
      </c>
      <c r="AO60" s="168">
        <f t="shared" si="12"/>
        <v>0</v>
      </c>
      <c r="AP60" s="168">
        <f t="shared" si="13"/>
        <v>0</v>
      </c>
      <c r="AQ60" s="168">
        <f t="shared" si="14"/>
        <v>0</v>
      </c>
      <c r="AR60" s="168"/>
      <c r="AS60" s="168">
        <f t="shared" si="15"/>
        <v>0</v>
      </c>
      <c r="AT60" s="168"/>
      <c r="AU60" s="168"/>
      <c r="AV60" s="168"/>
      <c r="AW60" s="168">
        <f t="shared" si="16"/>
        <v>0</v>
      </c>
      <c r="AX60" s="168"/>
      <c r="AY60" s="168"/>
      <c r="AZ60" s="168">
        <f t="shared" si="17"/>
        <v>0</v>
      </c>
      <c r="BA60" s="172"/>
    </row>
    <row r="61" s="135" customFormat="1" ht="12.95" customHeight="1" spans="1:248">
      <c r="A61" s="157">
        <f t="shared" si="19"/>
        <v>56</v>
      </c>
      <c r="B61" s="158" t="s">
        <v>41</v>
      </c>
      <c r="C61" s="1">
        <v>7642889</v>
      </c>
      <c r="D61" s="1" t="s">
        <v>121</v>
      </c>
      <c r="E61" s="1" t="s">
        <v>122</v>
      </c>
      <c r="F61" s="1" t="s">
        <v>31</v>
      </c>
      <c r="G61" s="165" t="s">
        <v>123</v>
      </c>
      <c r="H61" s="165" t="s">
        <v>123</v>
      </c>
      <c r="I61" s="165" t="s">
        <v>123</v>
      </c>
      <c r="J61" s="1" t="s">
        <v>34</v>
      </c>
      <c r="K61" s="1" t="s">
        <v>34</v>
      </c>
      <c r="L61" s="1" t="s">
        <v>34</v>
      </c>
      <c r="M61" s="1" t="s">
        <v>34</v>
      </c>
      <c r="N61" s="1" t="s">
        <v>33</v>
      </c>
      <c r="O61" s="1" t="s">
        <v>33</v>
      </c>
      <c r="P61" s="1" t="s">
        <v>33</v>
      </c>
      <c r="Q61" s="1" t="s">
        <v>33</v>
      </c>
      <c r="R61" s="1" t="s">
        <v>33</v>
      </c>
      <c r="S61" s="1" t="s">
        <v>34</v>
      </c>
      <c r="T61" s="1" t="s">
        <v>33</v>
      </c>
      <c r="U61" s="1" t="s">
        <v>33</v>
      </c>
      <c r="V61" s="1" t="s">
        <v>33</v>
      </c>
      <c r="W61" s="1" t="s">
        <v>33</v>
      </c>
      <c r="X61" s="1" t="s">
        <v>33</v>
      </c>
      <c r="Y61" s="1" t="s">
        <v>34</v>
      </c>
      <c r="Z61" s="1" t="s">
        <v>34</v>
      </c>
      <c r="AA61" s="1" t="s">
        <v>33</v>
      </c>
      <c r="AB61" s="1" t="s">
        <v>33</v>
      </c>
      <c r="AC61" s="1" t="s">
        <v>33</v>
      </c>
      <c r="AD61" s="1" t="s">
        <v>33</v>
      </c>
      <c r="AE61" s="1" t="s">
        <v>33</v>
      </c>
      <c r="AF61" s="1" t="s">
        <v>34</v>
      </c>
      <c r="AG61" s="1" t="s">
        <v>34</v>
      </c>
      <c r="AH61" s="1" t="s">
        <v>33</v>
      </c>
      <c r="AI61" s="1" t="s">
        <v>33</v>
      </c>
      <c r="AJ61" s="1" t="s">
        <v>33</v>
      </c>
      <c r="AK61" s="1" t="s">
        <v>33</v>
      </c>
      <c r="AL61" s="1">
        <v>31</v>
      </c>
      <c r="AM61" s="1">
        <v>31</v>
      </c>
      <c r="AN61" s="168">
        <f t="shared" si="11"/>
        <v>0</v>
      </c>
      <c r="AO61" s="168">
        <f t="shared" si="12"/>
        <v>0</v>
      </c>
      <c r="AP61" s="168">
        <f t="shared" si="13"/>
        <v>0</v>
      </c>
      <c r="AQ61" s="168">
        <f t="shared" si="14"/>
        <v>0</v>
      </c>
      <c r="AR61" s="168"/>
      <c r="AS61" s="168">
        <f t="shared" si="15"/>
        <v>0</v>
      </c>
      <c r="AT61" s="168"/>
      <c r="AU61" s="168"/>
      <c r="AV61" s="168"/>
      <c r="AW61" s="168">
        <f t="shared" si="16"/>
        <v>0</v>
      </c>
      <c r="AX61" s="168"/>
      <c r="AY61" s="168"/>
      <c r="AZ61" s="168">
        <f t="shared" si="17"/>
        <v>0</v>
      </c>
      <c r="BA61" s="172"/>
      <c r="IH61" s="142"/>
      <c r="II61" s="142"/>
      <c r="IJ61" s="142"/>
      <c r="IK61" s="142"/>
      <c r="IL61" s="142"/>
      <c r="IM61" s="142"/>
      <c r="IN61" s="142"/>
    </row>
    <row r="62" s="135" customFormat="1" ht="12.95" customHeight="1" spans="1:248">
      <c r="A62" s="157">
        <f t="shared" si="19"/>
        <v>57</v>
      </c>
      <c r="B62" s="158" t="s">
        <v>41</v>
      </c>
      <c r="C62" s="1">
        <v>7611817</v>
      </c>
      <c r="D62" s="1" t="s">
        <v>124</v>
      </c>
      <c r="E62" s="1" t="s">
        <v>59</v>
      </c>
      <c r="F62" s="1" t="s">
        <v>52</v>
      </c>
      <c r="G62" s="1" t="s">
        <v>53</v>
      </c>
      <c r="H62" s="1" t="s">
        <v>54</v>
      </c>
      <c r="I62" s="1" t="s">
        <v>34</v>
      </c>
      <c r="J62" s="1" t="s">
        <v>34</v>
      </c>
      <c r="K62" s="1" t="s">
        <v>53</v>
      </c>
      <c r="L62" s="1" t="s">
        <v>54</v>
      </c>
      <c r="M62" s="1" t="s">
        <v>34</v>
      </c>
      <c r="N62" s="1" t="s">
        <v>34</v>
      </c>
      <c r="O62" s="1" t="s">
        <v>53</v>
      </c>
      <c r="P62" s="1" t="s">
        <v>54</v>
      </c>
      <c r="Q62" s="1" t="s">
        <v>34</v>
      </c>
      <c r="R62" s="1" t="s">
        <v>53</v>
      </c>
      <c r="S62" s="1" t="s">
        <v>54</v>
      </c>
      <c r="T62" s="1" t="s">
        <v>34</v>
      </c>
      <c r="U62" s="1" t="s">
        <v>53</v>
      </c>
      <c r="V62" s="1" t="s">
        <v>54</v>
      </c>
      <c r="W62" s="1" t="s">
        <v>34</v>
      </c>
      <c r="X62" s="1" t="s">
        <v>53</v>
      </c>
      <c r="Y62" s="1" t="s">
        <v>54</v>
      </c>
      <c r="Z62" s="1" t="s">
        <v>34</v>
      </c>
      <c r="AA62" s="1" t="s">
        <v>34</v>
      </c>
      <c r="AB62" s="1" t="s">
        <v>56</v>
      </c>
      <c r="AC62" s="1" t="s">
        <v>56</v>
      </c>
      <c r="AD62" s="1" t="s">
        <v>56</v>
      </c>
      <c r="AE62" s="1" t="s">
        <v>56</v>
      </c>
      <c r="AF62" s="1" t="s">
        <v>53</v>
      </c>
      <c r="AG62" s="1" t="s">
        <v>34</v>
      </c>
      <c r="AH62" s="1" t="s">
        <v>54</v>
      </c>
      <c r="AI62" s="1" t="s">
        <v>34</v>
      </c>
      <c r="AJ62" s="1" t="s">
        <v>34</v>
      </c>
      <c r="AK62" s="1" t="s">
        <v>53</v>
      </c>
      <c r="AL62" s="1">
        <v>31</v>
      </c>
      <c r="AM62" s="1">
        <v>27</v>
      </c>
      <c r="AN62" s="168">
        <f t="shared" si="11"/>
        <v>0</v>
      </c>
      <c r="AO62" s="168">
        <f t="shared" si="12"/>
        <v>0</v>
      </c>
      <c r="AP62" s="168">
        <f t="shared" si="13"/>
        <v>0</v>
      </c>
      <c r="AQ62" s="168">
        <f t="shared" si="14"/>
        <v>4</v>
      </c>
      <c r="AR62" s="168"/>
      <c r="AS62" s="168">
        <f t="shared" si="15"/>
        <v>0</v>
      </c>
      <c r="AT62" s="168"/>
      <c r="AU62" s="168"/>
      <c r="AV62" s="168"/>
      <c r="AW62" s="168">
        <f t="shared" si="16"/>
        <v>0</v>
      </c>
      <c r="AX62" s="168"/>
      <c r="AY62" s="168"/>
      <c r="AZ62" s="168">
        <f t="shared" si="17"/>
        <v>4</v>
      </c>
      <c r="BA62" s="172"/>
      <c r="IH62" s="142"/>
      <c r="II62" s="142"/>
      <c r="IJ62" s="142"/>
      <c r="IK62" s="142"/>
      <c r="IL62" s="142"/>
      <c r="IM62" s="142"/>
      <c r="IN62" s="142"/>
    </row>
    <row r="63" s="135" customFormat="1" ht="12.95" customHeight="1" spans="1:248">
      <c r="A63" s="157">
        <f t="shared" si="19"/>
        <v>58</v>
      </c>
      <c r="B63" s="158" t="s">
        <v>41</v>
      </c>
      <c r="C63" s="1">
        <v>7612655</v>
      </c>
      <c r="D63" s="1" t="s">
        <v>125</v>
      </c>
      <c r="E63" s="1" t="s">
        <v>59</v>
      </c>
      <c r="F63" s="1" t="s">
        <v>52</v>
      </c>
      <c r="G63" s="1" t="s">
        <v>60</v>
      </c>
      <c r="H63" s="1" t="s">
        <v>34</v>
      </c>
      <c r="I63" s="1" t="s">
        <v>61</v>
      </c>
      <c r="J63" s="1" t="s">
        <v>53</v>
      </c>
      <c r="K63" s="1" t="s">
        <v>60</v>
      </c>
      <c r="L63" s="1" t="s">
        <v>34</v>
      </c>
      <c r="M63" s="1" t="s">
        <v>61</v>
      </c>
      <c r="N63" s="1" t="s">
        <v>53</v>
      </c>
      <c r="O63" s="1" t="s">
        <v>60</v>
      </c>
      <c r="P63" s="1" t="s">
        <v>34</v>
      </c>
      <c r="Q63" s="1" t="s">
        <v>61</v>
      </c>
      <c r="R63" s="1" t="s">
        <v>53</v>
      </c>
      <c r="S63" s="1" t="s">
        <v>60</v>
      </c>
      <c r="T63" s="1" t="s">
        <v>34</v>
      </c>
      <c r="U63" s="1" t="s">
        <v>61</v>
      </c>
      <c r="V63" s="1" t="s">
        <v>53</v>
      </c>
      <c r="W63" s="1" t="s">
        <v>60</v>
      </c>
      <c r="X63" s="1" t="s">
        <v>34</v>
      </c>
      <c r="Y63" s="1" t="s">
        <v>61</v>
      </c>
      <c r="Z63" s="1" t="s">
        <v>53</v>
      </c>
      <c r="AA63" s="1" t="s">
        <v>60</v>
      </c>
      <c r="AB63" s="1" t="s">
        <v>34</v>
      </c>
      <c r="AC63" s="1" t="s">
        <v>61</v>
      </c>
      <c r="AD63" s="1" t="s">
        <v>53</v>
      </c>
      <c r="AE63" s="1" t="s">
        <v>60</v>
      </c>
      <c r="AF63" s="1" t="s">
        <v>34</v>
      </c>
      <c r="AG63" s="1" t="s">
        <v>61</v>
      </c>
      <c r="AH63" s="1" t="s">
        <v>53</v>
      </c>
      <c r="AI63" s="1" t="s">
        <v>60</v>
      </c>
      <c r="AJ63" s="1" t="s">
        <v>34</v>
      </c>
      <c r="AK63" s="1" t="s">
        <v>61</v>
      </c>
      <c r="AL63" s="1">
        <v>31</v>
      </c>
      <c r="AM63" s="1">
        <v>31</v>
      </c>
      <c r="AN63" s="168">
        <f t="shared" si="11"/>
        <v>0</v>
      </c>
      <c r="AO63" s="168">
        <f t="shared" si="12"/>
        <v>0</v>
      </c>
      <c r="AP63" s="168">
        <f t="shared" si="13"/>
        <v>0</v>
      </c>
      <c r="AQ63" s="168">
        <f t="shared" si="14"/>
        <v>0</v>
      </c>
      <c r="AR63" s="168"/>
      <c r="AS63" s="168">
        <f t="shared" si="15"/>
        <v>0</v>
      </c>
      <c r="AT63" s="168"/>
      <c r="AU63" s="168"/>
      <c r="AV63" s="168"/>
      <c r="AW63" s="168">
        <f t="shared" si="16"/>
        <v>0</v>
      </c>
      <c r="AX63" s="168"/>
      <c r="AY63" s="168"/>
      <c r="AZ63" s="168">
        <f t="shared" si="17"/>
        <v>0</v>
      </c>
      <c r="BA63" s="172"/>
      <c r="IH63" s="142"/>
      <c r="II63" s="142"/>
      <c r="IJ63" s="142"/>
      <c r="IK63" s="142"/>
      <c r="IL63" s="142"/>
      <c r="IM63" s="142"/>
      <c r="IN63" s="142"/>
    </row>
    <row r="64" s="135" customFormat="1" ht="12.95" customHeight="1" spans="1:248">
      <c r="A64" s="157">
        <f t="shared" si="19"/>
        <v>59</v>
      </c>
      <c r="B64" s="158" t="s">
        <v>41</v>
      </c>
      <c r="C64" s="1">
        <v>7642424</v>
      </c>
      <c r="D64" s="1" t="s">
        <v>126</v>
      </c>
      <c r="E64" s="1" t="s">
        <v>51</v>
      </c>
      <c r="F64" s="1" t="s">
        <v>52</v>
      </c>
      <c r="G64" s="1" t="s">
        <v>60</v>
      </c>
      <c r="H64" s="1" t="s">
        <v>34</v>
      </c>
      <c r="I64" s="1" t="s">
        <v>61</v>
      </c>
      <c r="J64" s="1" t="s">
        <v>53</v>
      </c>
      <c r="K64" s="1" t="s">
        <v>60</v>
      </c>
      <c r="L64" s="1" t="s">
        <v>34</v>
      </c>
      <c r="M64" s="1" t="s">
        <v>61</v>
      </c>
      <c r="N64" s="1" t="s">
        <v>53</v>
      </c>
      <c r="O64" s="1" t="s">
        <v>60</v>
      </c>
      <c r="P64" s="1" t="s">
        <v>34</v>
      </c>
      <c r="Q64" s="1" t="s">
        <v>61</v>
      </c>
      <c r="R64" s="1" t="s">
        <v>53</v>
      </c>
      <c r="S64" s="1" t="s">
        <v>60</v>
      </c>
      <c r="T64" s="1" t="s">
        <v>34</v>
      </c>
      <c r="U64" s="1" t="s">
        <v>61</v>
      </c>
      <c r="V64" s="1" t="s">
        <v>53</v>
      </c>
      <c r="W64" s="1" t="s">
        <v>60</v>
      </c>
      <c r="X64" s="1" t="s">
        <v>34</v>
      </c>
      <c r="Y64" s="1" t="s">
        <v>61</v>
      </c>
      <c r="Z64" s="1" t="s">
        <v>53</v>
      </c>
      <c r="AA64" s="1" t="s">
        <v>60</v>
      </c>
      <c r="AB64" s="1" t="s">
        <v>34</v>
      </c>
      <c r="AC64" s="1" t="s">
        <v>61</v>
      </c>
      <c r="AD64" s="1" t="s">
        <v>53</v>
      </c>
      <c r="AE64" s="1" t="s">
        <v>60</v>
      </c>
      <c r="AF64" s="1" t="s">
        <v>34</v>
      </c>
      <c r="AG64" s="1" t="s">
        <v>61</v>
      </c>
      <c r="AH64" s="1" t="s">
        <v>53</v>
      </c>
      <c r="AI64" s="1" t="s">
        <v>60</v>
      </c>
      <c r="AJ64" s="1" t="s">
        <v>34</v>
      </c>
      <c r="AK64" s="1" t="s">
        <v>61</v>
      </c>
      <c r="AL64" s="1">
        <v>31</v>
      </c>
      <c r="AM64" s="1">
        <v>31</v>
      </c>
      <c r="AN64" s="168">
        <f t="shared" si="11"/>
        <v>0</v>
      </c>
      <c r="AO64" s="168">
        <f t="shared" si="12"/>
        <v>0</v>
      </c>
      <c r="AP64" s="168">
        <f t="shared" si="13"/>
        <v>0</v>
      </c>
      <c r="AQ64" s="168">
        <f t="shared" si="14"/>
        <v>0</v>
      </c>
      <c r="AR64" s="168"/>
      <c r="AS64" s="168">
        <f t="shared" si="15"/>
        <v>0</v>
      </c>
      <c r="AT64" s="168"/>
      <c r="AU64" s="168"/>
      <c r="AV64" s="168"/>
      <c r="AW64" s="168">
        <f t="shared" si="16"/>
        <v>0</v>
      </c>
      <c r="AX64" s="168"/>
      <c r="AY64" s="168"/>
      <c r="AZ64" s="168">
        <f t="shared" si="17"/>
        <v>0</v>
      </c>
      <c r="BA64" s="172"/>
      <c r="IH64" s="142"/>
      <c r="II64" s="142"/>
      <c r="IJ64" s="142"/>
      <c r="IK64" s="142"/>
      <c r="IL64" s="142"/>
      <c r="IM64" s="142"/>
      <c r="IN64" s="142"/>
    </row>
    <row r="65" ht="12.95" customHeight="1" spans="1:53">
      <c r="A65" s="157">
        <f t="shared" si="19"/>
        <v>60</v>
      </c>
      <c r="B65" s="158" t="s">
        <v>41</v>
      </c>
      <c r="C65" s="1" t="s">
        <v>127</v>
      </c>
      <c r="D65" s="1" t="s">
        <v>128</v>
      </c>
      <c r="E65" s="1" t="s">
        <v>51</v>
      </c>
      <c r="F65" s="1" t="s">
        <v>52</v>
      </c>
      <c r="G65" s="1" t="s">
        <v>61</v>
      </c>
      <c r="H65" s="1" t="s">
        <v>53</v>
      </c>
      <c r="I65" s="1" t="s">
        <v>60</v>
      </c>
      <c r="J65" s="1" t="s">
        <v>34</v>
      </c>
      <c r="K65" s="1" t="s">
        <v>61</v>
      </c>
      <c r="L65" s="1" t="s">
        <v>53</v>
      </c>
      <c r="M65" s="1" t="s">
        <v>60</v>
      </c>
      <c r="N65" s="1" t="s">
        <v>34</v>
      </c>
      <c r="O65" s="1" t="s">
        <v>61</v>
      </c>
      <c r="P65" s="1" t="s">
        <v>53</v>
      </c>
      <c r="Q65" s="1" t="s">
        <v>60</v>
      </c>
      <c r="R65" s="1" t="s">
        <v>34</v>
      </c>
      <c r="S65" s="1" t="s">
        <v>61</v>
      </c>
      <c r="T65" s="1" t="s">
        <v>53</v>
      </c>
      <c r="U65" s="1" t="s">
        <v>60</v>
      </c>
      <c r="V65" s="1" t="s">
        <v>34</v>
      </c>
      <c r="W65" s="1" t="s">
        <v>61</v>
      </c>
      <c r="X65" s="1" t="s">
        <v>53</v>
      </c>
      <c r="Y65" s="1" t="s">
        <v>60</v>
      </c>
      <c r="Z65" s="1" t="s">
        <v>34</v>
      </c>
      <c r="AA65" s="1" t="s">
        <v>61</v>
      </c>
      <c r="AB65" s="1" t="s">
        <v>53</v>
      </c>
      <c r="AC65" s="1" t="s">
        <v>60</v>
      </c>
      <c r="AD65" s="1" t="s">
        <v>34</v>
      </c>
      <c r="AE65" s="1" t="s">
        <v>61</v>
      </c>
      <c r="AF65" s="1" t="s">
        <v>53</v>
      </c>
      <c r="AG65" s="1" t="s">
        <v>60</v>
      </c>
      <c r="AH65" s="1" t="s">
        <v>34</v>
      </c>
      <c r="AI65" s="1" t="s">
        <v>61</v>
      </c>
      <c r="AJ65" s="1" t="s">
        <v>53</v>
      </c>
      <c r="AK65" s="1" t="s">
        <v>60</v>
      </c>
      <c r="AL65" s="1">
        <v>31</v>
      </c>
      <c r="AM65" s="1">
        <v>31</v>
      </c>
      <c r="AN65" s="168">
        <f t="shared" si="11"/>
        <v>0</v>
      </c>
      <c r="AO65" s="168">
        <f t="shared" si="12"/>
        <v>0</v>
      </c>
      <c r="AP65" s="168">
        <f t="shared" si="13"/>
        <v>0</v>
      </c>
      <c r="AQ65" s="168">
        <f t="shared" si="14"/>
        <v>0</v>
      </c>
      <c r="AR65" s="168"/>
      <c r="AS65" s="168">
        <f t="shared" si="15"/>
        <v>0</v>
      </c>
      <c r="AT65" s="168"/>
      <c r="AU65" s="168"/>
      <c r="AV65" s="168"/>
      <c r="AW65" s="168">
        <f t="shared" si="16"/>
        <v>0</v>
      </c>
      <c r="AX65" s="168"/>
      <c r="AY65" s="168"/>
      <c r="AZ65" s="168">
        <f t="shared" si="17"/>
        <v>0</v>
      </c>
      <c r="BA65" s="172"/>
    </row>
    <row r="66" s="135" customFormat="1" ht="12.95" customHeight="1" spans="1:248">
      <c r="A66" s="157">
        <f t="shared" si="19"/>
        <v>61</v>
      </c>
      <c r="B66" s="158" t="s">
        <v>41</v>
      </c>
      <c r="C66" s="1">
        <v>7612707</v>
      </c>
      <c r="D66" s="1" t="s">
        <v>129</v>
      </c>
      <c r="E66" s="1" t="s">
        <v>59</v>
      </c>
      <c r="F66" s="1" t="s">
        <v>52</v>
      </c>
      <c r="G66" s="1" t="s">
        <v>54</v>
      </c>
      <c r="H66" s="1" t="s">
        <v>34</v>
      </c>
      <c r="I66" s="1" t="s">
        <v>34</v>
      </c>
      <c r="J66" s="1" t="s">
        <v>53</v>
      </c>
      <c r="K66" s="1" t="s">
        <v>53</v>
      </c>
      <c r="L66" s="1" t="s">
        <v>34</v>
      </c>
      <c r="M66" s="1" t="s">
        <v>34</v>
      </c>
      <c r="N66" s="165" t="s">
        <v>43</v>
      </c>
      <c r="O66" s="165" t="s">
        <v>43</v>
      </c>
      <c r="P66" s="165" t="s">
        <v>43</v>
      </c>
      <c r="Q66" s="165" t="s">
        <v>43</v>
      </c>
      <c r="R66" s="165" t="s">
        <v>43</v>
      </c>
      <c r="S66" s="165" t="s">
        <v>43</v>
      </c>
      <c r="T66" s="165" t="s">
        <v>43</v>
      </c>
      <c r="U66" s="165" t="s">
        <v>43</v>
      </c>
      <c r="V66" s="1" t="s">
        <v>34</v>
      </c>
      <c r="W66" s="1" t="s">
        <v>34</v>
      </c>
      <c r="X66" s="1" t="s">
        <v>54</v>
      </c>
      <c r="Y66" s="1" t="s">
        <v>54</v>
      </c>
      <c r="Z66" s="1" t="s">
        <v>34</v>
      </c>
      <c r="AA66" s="1" t="s">
        <v>34</v>
      </c>
      <c r="AB66" s="165" t="s">
        <v>43</v>
      </c>
      <c r="AC66" s="165" t="s">
        <v>43</v>
      </c>
      <c r="AD66" s="1" t="s">
        <v>61</v>
      </c>
      <c r="AE66" s="1" t="s">
        <v>53</v>
      </c>
      <c r="AF66" s="1" t="s">
        <v>60</v>
      </c>
      <c r="AG66" s="1" t="s">
        <v>34</v>
      </c>
      <c r="AH66" s="1" t="s">
        <v>34</v>
      </c>
      <c r="AI66" s="1" t="s">
        <v>34</v>
      </c>
      <c r="AJ66" s="1" t="s">
        <v>61</v>
      </c>
      <c r="AK66" s="1" t="s">
        <v>53</v>
      </c>
      <c r="AL66" s="1">
        <v>31</v>
      </c>
      <c r="AM66" s="1">
        <v>31</v>
      </c>
      <c r="AN66" s="168">
        <f t="shared" si="11"/>
        <v>0</v>
      </c>
      <c r="AO66" s="168">
        <f t="shared" si="12"/>
        <v>0</v>
      </c>
      <c r="AP66" s="168">
        <f t="shared" si="13"/>
        <v>0</v>
      </c>
      <c r="AQ66" s="168">
        <f t="shared" si="14"/>
        <v>0</v>
      </c>
      <c r="AR66" s="168"/>
      <c r="AS66" s="168">
        <f t="shared" si="15"/>
        <v>0</v>
      </c>
      <c r="AT66" s="168"/>
      <c r="AU66" s="168"/>
      <c r="AV66" s="168"/>
      <c r="AW66" s="168">
        <f t="shared" si="16"/>
        <v>0</v>
      </c>
      <c r="AX66" s="168"/>
      <c r="AY66" s="168"/>
      <c r="AZ66" s="168">
        <f t="shared" si="17"/>
        <v>0</v>
      </c>
      <c r="BA66" s="172" t="s">
        <v>63</v>
      </c>
      <c r="IH66" s="142"/>
      <c r="II66" s="142"/>
      <c r="IJ66" s="142"/>
      <c r="IK66" s="142"/>
      <c r="IL66" s="142"/>
      <c r="IM66" s="142"/>
      <c r="IN66" s="142"/>
    </row>
    <row r="67" s="135" customFormat="1" ht="12.95" customHeight="1" spans="1:248">
      <c r="A67" s="157">
        <f t="shared" si="19"/>
        <v>62</v>
      </c>
      <c r="B67" s="158" t="s">
        <v>41</v>
      </c>
      <c r="C67" s="1">
        <v>7642690</v>
      </c>
      <c r="D67" s="1" t="s">
        <v>130</v>
      </c>
      <c r="E67" s="1" t="s">
        <v>65</v>
      </c>
      <c r="F67" s="1" t="s">
        <v>52</v>
      </c>
      <c r="G67" s="1" t="s">
        <v>61</v>
      </c>
      <c r="H67" s="1" t="s">
        <v>53</v>
      </c>
      <c r="I67" s="1" t="s">
        <v>60</v>
      </c>
      <c r="J67" s="1" t="s">
        <v>34</v>
      </c>
      <c r="K67" s="1" t="s">
        <v>34</v>
      </c>
      <c r="L67" s="1" t="s">
        <v>53</v>
      </c>
      <c r="M67" s="1" t="s">
        <v>60</v>
      </c>
      <c r="N67" s="1" t="s">
        <v>34</v>
      </c>
      <c r="O67" s="1" t="s">
        <v>33</v>
      </c>
      <c r="P67" s="1" t="s">
        <v>33</v>
      </c>
      <c r="Q67" s="1" t="s">
        <v>33</v>
      </c>
      <c r="R67" s="1" t="s">
        <v>33</v>
      </c>
      <c r="S67" s="1" t="s">
        <v>34</v>
      </c>
      <c r="T67" s="1" t="s">
        <v>33</v>
      </c>
      <c r="U67" s="1" t="s">
        <v>33</v>
      </c>
      <c r="V67" s="1" t="s">
        <v>33</v>
      </c>
      <c r="W67" s="1" t="s">
        <v>33</v>
      </c>
      <c r="X67" s="1" t="s">
        <v>33</v>
      </c>
      <c r="Y67" s="1" t="s">
        <v>34</v>
      </c>
      <c r="Z67" s="1" t="s">
        <v>34</v>
      </c>
      <c r="AA67" s="1" t="s">
        <v>33</v>
      </c>
      <c r="AB67" s="1" t="s">
        <v>33</v>
      </c>
      <c r="AC67" s="1" t="s">
        <v>33</v>
      </c>
      <c r="AD67" s="1" t="s">
        <v>33</v>
      </c>
      <c r="AE67" s="1" t="s">
        <v>53</v>
      </c>
      <c r="AF67" s="1" t="s">
        <v>34</v>
      </c>
      <c r="AG67" s="1" t="s">
        <v>34</v>
      </c>
      <c r="AH67" s="1" t="s">
        <v>33</v>
      </c>
      <c r="AI67" s="1" t="s">
        <v>33</v>
      </c>
      <c r="AJ67" s="1" t="s">
        <v>61</v>
      </c>
      <c r="AK67" s="1" t="s">
        <v>53</v>
      </c>
      <c r="AL67" s="1">
        <v>31</v>
      </c>
      <c r="AM67" s="1">
        <v>31</v>
      </c>
      <c r="AN67" s="168">
        <f t="shared" si="11"/>
        <v>0</v>
      </c>
      <c r="AO67" s="168">
        <f t="shared" si="12"/>
        <v>0</v>
      </c>
      <c r="AP67" s="168">
        <f t="shared" si="13"/>
        <v>0</v>
      </c>
      <c r="AQ67" s="168">
        <f t="shared" si="14"/>
        <v>0</v>
      </c>
      <c r="AR67" s="168"/>
      <c r="AS67" s="168">
        <f t="shared" si="15"/>
        <v>0</v>
      </c>
      <c r="AT67" s="168"/>
      <c r="AU67" s="168"/>
      <c r="AV67" s="168"/>
      <c r="AW67" s="168">
        <f t="shared" si="16"/>
        <v>0</v>
      </c>
      <c r="AX67" s="168"/>
      <c r="AY67" s="168"/>
      <c r="AZ67" s="168">
        <f t="shared" si="17"/>
        <v>0</v>
      </c>
      <c r="BA67" s="172"/>
      <c r="IH67" s="142"/>
      <c r="II67" s="142"/>
      <c r="IJ67" s="142"/>
      <c r="IK67" s="142"/>
      <c r="IL67" s="142"/>
      <c r="IM67" s="142"/>
      <c r="IN67" s="142"/>
    </row>
    <row r="68" s="135" customFormat="1" ht="12.95" customHeight="1" spans="1:248">
      <c r="A68" s="157">
        <f t="shared" si="19"/>
        <v>63</v>
      </c>
      <c r="B68" s="158" t="s">
        <v>41</v>
      </c>
      <c r="C68" s="159">
        <v>7610649</v>
      </c>
      <c r="D68" s="1" t="s">
        <v>131</v>
      </c>
      <c r="E68" s="1" t="s">
        <v>51</v>
      </c>
      <c r="F68" s="1" t="s">
        <v>52</v>
      </c>
      <c r="G68" s="1" t="s">
        <v>53</v>
      </c>
      <c r="H68" s="1" t="s">
        <v>60</v>
      </c>
      <c r="I68" s="1" t="s">
        <v>34</v>
      </c>
      <c r="J68" s="1" t="s">
        <v>61</v>
      </c>
      <c r="K68" s="1" t="s">
        <v>53</v>
      </c>
      <c r="L68" s="1" t="s">
        <v>60</v>
      </c>
      <c r="M68" s="1" t="s">
        <v>34</v>
      </c>
      <c r="N68" s="1" t="s">
        <v>61</v>
      </c>
      <c r="O68" s="1" t="s">
        <v>53</v>
      </c>
      <c r="P68" s="1" t="s">
        <v>60</v>
      </c>
      <c r="Q68" s="1" t="s">
        <v>34</v>
      </c>
      <c r="R68" s="1" t="s">
        <v>61</v>
      </c>
      <c r="S68" s="1" t="s">
        <v>53</v>
      </c>
      <c r="T68" s="1" t="s">
        <v>60</v>
      </c>
      <c r="U68" s="1" t="s">
        <v>34</v>
      </c>
      <c r="V68" s="1" t="s">
        <v>61</v>
      </c>
      <c r="W68" s="1" t="s">
        <v>53</v>
      </c>
      <c r="X68" s="1" t="s">
        <v>60</v>
      </c>
      <c r="Y68" s="1" t="s">
        <v>34</v>
      </c>
      <c r="Z68" s="1" t="s">
        <v>61</v>
      </c>
      <c r="AA68" s="1" t="s">
        <v>53</v>
      </c>
      <c r="AB68" s="1" t="s">
        <v>60</v>
      </c>
      <c r="AC68" s="1" t="s">
        <v>34</v>
      </c>
      <c r="AD68" s="1" t="s">
        <v>61</v>
      </c>
      <c r="AE68" s="1" t="s">
        <v>53</v>
      </c>
      <c r="AF68" s="1" t="s">
        <v>60</v>
      </c>
      <c r="AG68" s="1" t="s">
        <v>34</v>
      </c>
      <c r="AH68" s="1" t="s">
        <v>61</v>
      </c>
      <c r="AI68" s="1" t="s">
        <v>53</v>
      </c>
      <c r="AJ68" s="1" t="s">
        <v>60</v>
      </c>
      <c r="AK68" s="1" t="s">
        <v>34</v>
      </c>
      <c r="AL68" s="1">
        <v>31</v>
      </c>
      <c r="AM68" s="1">
        <v>31</v>
      </c>
      <c r="AN68" s="168">
        <f t="shared" si="11"/>
        <v>0</v>
      </c>
      <c r="AO68" s="168">
        <f t="shared" si="12"/>
        <v>0</v>
      </c>
      <c r="AP68" s="168">
        <f t="shared" si="13"/>
        <v>0</v>
      </c>
      <c r="AQ68" s="168">
        <f t="shared" si="14"/>
        <v>0</v>
      </c>
      <c r="AR68" s="168"/>
      <c r="AS68" s="168">
        <f t="shared" si="15"/>
        <v>0</v>
      </c>
      <c r="AT68" s="168"/>
      <c r="AU68" s="168"/>
      <c r="AV68" s="168"/>
      <c r="AW68" s="168">
        <f t="shared" si="16"/>
        <v>0</v>
      </c>
      <c r="AX68" s="168"/>
      <c r="AY68" s="168"/>
      <c r="AZ68" s="168">
        <f t="shared" si="17"/>
        <v>0</v>
      </c>
      <c r="BA68" s="172"/>
      <c r="IH68" s="142"/>
      <c r="II68" s="142"/>
      <c r="IJ68" s="142"/>
      <c r="IK68" s="142"/>
      <c r="IL68" s="142"/>
      <c r="IM68" s="142"/>
      <c r="IN68" s="142"/>
    </row>
    <row r="69" s="135" customFormat="1" ht="12.95" customHeight="1" spans="1:248">
      <c r="A69" s="157">
        <f t="shared" ref="A69:A78" si="20">ROW()-5</f>
        <v>64</v>
      </c>
      <c r="B69" s="158" t="s">
        <v>41</v>
      </c>
      <c r="C69" s="1">
        <v>7643030</v>
      </c>
      <c r="D69" s="1" t="s">
        <v>132</v>
      </c>
      <c r="E69" s="1" t="s">
        <v>51</v>
      </c>
      <c r="F69" s="1" t="s">
        <v>52</v>
      </c>
      <c r="G69" s="1" t="s">
        <v>34</v>
      </c>
      <c r="H69" s="1" t="s">
        <v>61</v>
      </c>
      <c r="I69" s="1" t="s">
        <v>53</v>
      </c>
      <c r="J69" s="1" t="s">
        <v>60</v>
      </c>
      <c r="K69" s="1" t="s">
        <v>34</v>
      </c>
      <c r="L69" s="1" t="s">
        <v>61</v>
      </c>
      <c r="M69" s="1" t="s">
        <v>53</v>
      </c>
      <c r="N69" s="1" t="s">
        <v>60</v>
      </c>
      <c r="O69" s="1" t="s">
        <v>34</v>
      </c>
      <c r="P69" s="1" t="s">
        <v>61</v>
      </c>
      <c r="Q69" s="1" t="s">
        <v>53</v>
      </c>
      <c r="R69" s="1" t="s">
        <v>60</v>
      </c>
      <c r="S69" s="1" t="s">
        <v>34</v>
      </c>
      <c r="T69" s="1" t="s">
        <v>61</v>
      </c>
      <c r="U69" s="1" t="s">
        <v>53</v>
      </c>
      <c r="V69" s="1" t="s">
        <v>60</v>
      </c>
      <c r="W69" s="1" t="s">
        <v>34</v>
      </c>
      <c r="X69" s="1" t="s">
        <v>61</v>
      </c>
      <c r="Y69" s="1" t="s">
        <v>53</v>
      </c>
      <c r="Z69" s="1" t="s">
        <v>60</v>
      </c>
      <c r="AA69" s="1" t="s">
        <v>34</v>
      </c>
      <c r="AB69" s="1" t="s">
        <v>61</v>
      </c>
      <c r="AC69" s="1" t="s">
        <v>53</v>
      </c>
      <c r="AD69" s="1" t="s">
        <v>60</v>
      </c>
      <c r="AE69" s="1" t="s">
        <v>34</v>
      </c>
      <c r="AF69" s="1" t="s">
        <v>61</v>
      </c>
      <c r="AG69" s="1" t="s">
        <v>53</v>
      </c>
      <c r="AH69" s="1" t="s">
        <v>60</v>
      </c>
      <c r="AI69" s="1" t="s">
        <v>34</v>
      </c>
      <c r="AJ69" s="1" t="s">
        <v>61</v>
      </c>
      <c r="AK69" s="1" t="s">
        <v>53</v>
      </c>
      <c r="AL69" s="1">
        <v>31</v>
      </c>
      <c r="AM69" s="1">
        <v>31</v>
      </c>
      <c r="AN69" s="168">
        <f t="shared" si="11"/>
        <v>0</v>
      </c>
      <c r="AO69" s="168">
        <f t="shared" si="12"/>
        <v>0</v>
      </c>
      <c r="AP69" s="168">
        <f t="shared" si="13"/>
        <v>0</v>
      </c>
      <c r="AQ69" s="168">
        <f t="shared" si="14"/>
        <v>0</v>
      </c>
      <c r="AR69" s="168"/>
      <c r="AS69" s="168">
        <f t="shared" si="15"/>
        <v>0</v>
      </c>
      <c r="AT69" s="168"/>
      <c r="AU69" s="168"/>
      <c r="AV69" s="168"/>
      <c r="AW69" s="168">
        <f t="shared" si="16"/>
        <v>0</v>
      </c>
      <c r="AX69" s="168"/>
      <c r="AY69" s="168"/>
      <c r="AZ69" s="168">
        <f t="shared" si="17"/>
        <v>0</v>
      </c>
      <c r="BA69" s="172"/>
      <c r="IH69" s="142"/>
      <c r="II69" s="142"/>
      <c r="IJ69" s="142"/>
      <c r="IK69" s="142"/>
      <c r="IL69" s="142"/>
      <c r="IM69" s="142"/>
      <c r="IN69" s="142"/>
    </row>
    <row r="70" s="135" customFormat="1" ht="12.95" customHeight="1" spans="1:248">
      <c r="A70" s="157">
        <f t="shared" si="20"/>
        <v>65</v>
      </c>
      <c r="B70" s="158" t="s">
        <v>41</v>
      </c>
      <c r="C70" s="1" t="s">
        <v>133</v>
      </c>
      <c r="D70" s="1" t="s">
        <v>134</v>
      </c>
      <c r="E70" s="1" t="s">
        <v>51</v>
      </c>
      <c r="F70" s="1" t="s">
        <v>52</v>
      </c>
      <c r="G70" s="1" t="s">
        <v>53</v>
      </c>
      <c r="H70" s="1" t="s">
        <v>60</v>
      </c>
      <c r="I70" s="1" t="s">
        <v>34</v>
      </c>
      <c r="J70" s="1" t="s">
        <v>61</v>
      </c>
      <c r="K70" s="1" t="s">
        <v>53</v>
      </c>
      <c r="L70" s="1" t="s">
        <v>60</v>
      </c>
      <c r="M70" s="1" t="s">
        <v>34</v>
      </c>
      <c r="N70" s="1" t="s">
        <v>61</v>
      </c>
      <c r="O70" s="1" t="s">
        <v>53</v>
      </c>
      <c r="P70" s="1" t="s">
        <v>60</v>
      </c>
      <c r="Q70" s="1" t="s">
        <v>34</v>
      </c>
      <c r="R70" s="1" t="s">
        <v>61</v>
      </c>
      <c r="S70" s="1" t="s">
        <v>53</v>
      </c>
      <c r="T70" s="1" t="s">
        <v>60</v>
      </c>
      <c r="U70" s="1" t="s">
        <v>34</v>
      </c>
      <c r="V70" s="1" t="s">
        <v>61</v>
      </c>
      <c r="W70" s="1" t="s">
        <v>53</v>
      </c>
      <c r="X70" s="1" t="s">
        <v>60</v>
      </c>
      <c r="Y70" s="1" t="s">
        <v>34</v>
      </c>
      <c r="Z70" s="1" t="s">
        <v>61</v>
      </c>
      <c r="AA70" s="1" t="s">
        <v>53</v>
      </c>
      <c r="AB70" s="1" t="s">
        <v>60</v>
      </c>
      <c r="AC70" s="1" t="s">
        <v>34</v>
      </c>
      <c r="AD70" s="1" t="s">
        <v>61</v>
      </c>
      <c r="AE70" s="1" t="s">
        <v>53</v>
      </c>
      <c r="AF70" s="1" t="s">
        <v>60</v>
      </c>
      <c r="AG70" s="1" t="s">
        <v>34</v>
      </c>
      <c r="AH70" s="1" t="s">
        <v>61</v>
      </c>
      <c r="AI70" s="1" t="s">
        <v>53</v>
      </c>
      <c r="AJ70" s="1" t="s">
        <v>60</v>
      </c>
      <c r="AK70" s="1" t="s">
        <v>34</v>
      </c>
      <c r="AL70" s="1">
        <v>31</v>
      </c>
      <c r="AM70" s="1">
        <v>31</v>
      </c>
      <c r="AN70" s="168">
        <f t="shared" si="11"/>
        <v>0</v>
      </c>
      <c r="AO70" s="168">
        <f t="shared" si="12"/>
        <v>0</v>
      </c>
      <c r="AP70" s="168">
        <f t="shared" si="13"/>
        <v>0</v>
      </c>
      <c r="AQ70" s="168">
        <f t="shared" si="14"/>
        <v>0</v>
      </c>
      <c r="AR70" s="168"/>
      <c r="AS70" s="168">
        <f t="shared" si="15"/>
        <v>0</v>
      </c>
      <c r="AT70" s="168"/>
      <c r="AU70" s="168"/>
      <c r="AV70" s="168"/>
      <c r="AW70" s="168">
        <f t="shared" si="16"/>
        <v>0</v>
      </c>
      <c r="AX70" s="168"/>
      <c r="AY70" s="168"/>
      <c r="AZ70" s="168">
        <f t="shared" si="17"/>
        <v>0</v>
      </c>
      <c r="BA70" s="172"/>
      <c r="IH70" s="142"/>
      <c r="II70" s="142"/>
      <c r="IJ70" s="142"/>
      <c r="IK70" s="142"/>
      <c r="IL70" s="142"/>
      <c r="IM70" s="142"/>
      <c r="IN70" s="142"/>
    </row>
    <row r="71" s="135" customFormat="1" ht="12.95" customHeight="1" spans="1:248">
      <c r="A71" s="157">
        <f t="shared" si="20"/>
        <v>66</v>
      </c>
      <c r="B71" s="158" t="s">
        <v>41</v>
      </c>
      <c r="C71" s="1">
        <v>7612346</v>
      </c>
      <c r="D71" s="1" t="s">
        <v>135</v>
      </c>
      <c r="E71" s="1" t="s">
        <v>59</v>
      </c>
      <c r="F71" s="1" t="s">
        <v>52</v>
      </c>
      <c r="G71" s="1" t="s">
        <v>61</v>
      </c>
      <c r="H71" s="1" t="s">
        <v>53</v>
      </c>
      <c r="I71" s="1" t="s">
        <v>60</v>
      </c>
      <c r="J71" s="1" t="s">
        <v>34</v>
      </c>
      <c r="K71" s="1" t="s">
        <v>61</v>
      </c>
      <c r="L71" s="1" t="s">
        <v>53</v>
      </c>
      <c r="M71" s="1" t="s">
        <v>60</v>
      </c>
      <c r="N71" s="1" t="s">
        <v>34</v>
      </c>
      <c r="O71" s="1" t="s">
        <v>61</v>
      </c>
      <c r="P71" s="1" t="s">
        <v>53</v>
      </c>
      <c r="Q71" s="1" t="s">
        <v>60</v>
      </c>
      <c r="R71" s="1" t="s">
        <v>34</v>
      </c>
      <c r="S71" s="1" t="s">
        <v>61</v>
      </c>
      <c r="T71" s="1" t="s">
        <v>53</v>
      </c>
      <c r="U71" s="1" t="s">
        <v>60</v>
      </c>
      <c r="V71" s="1" t="s">
        <v>34</v>
      </c>
      <c r="W71" s="1" t="s">
        <v>34</v>
      </c>
      <c r="X71" s="1" t="s">
        <v>53</v>
      </c>
      <c r="Y71" s="1" t="s">
        <v>60</v>
      </c>
      <c r="Z71" s="1" t="s">
        <v>34</v>
      </c>
      <c r="AA71" s="1" t="s">
        <v>61</v>
      </c>
      <c r="AB71" s="1" t="s">
        <v>53</v>
      </c>
      <c r="AC71" s="1" t="s">
        <v>60</v>
      </c>
      <c r="AD71" s="1" t="s">
        <v>34</v>
      </c>
      <c r="AE71" s="1" t="s">
        <v>61</v>
      </c>
      <c r="AF71" s="1" t="s">
        <v>53</v>
      </c>
      <c r="AG71" s="1" t="s">
        <v>60</v>
      </c>
      <c r="AH71" s="1" t="s">
        <v>34</v>
      </c>
      <c r="AI71" s="1" t="s">
        <v>34</v>
      </c>
      <c r="AJ71" s="1" t="s">
        <v>53</v>
      </c>
      <c r="AK71" s="1" t="s">
        <v>60</v>
      </c>
      <c r="AL71" s="1">
        <v>31</v>
      </c>
      <c r="AM71" s="1">
        <v>31</v>
      </c>
      <c r="AN71" s="168">
        <f t="shared" ref="AN71:AN102" si="21">COUNTIF(G71:AK71,"病")</f>
        <v>0</v>
      </c>
      <c r="AO71" s="168">
        <f t="shared" ref="AO71:AO102" si="22">COUNTIF(G71:AK71,"事")</f>
        <v>0</v>
      </c>
      <c r="AP71" s="168">
        <f t="shared" ref="AP71:AP102" si="23">COUNTIF(G71:AK71,"探")</f>
        <v>0</v>
      </c>
      <c r="AQ71" s="168">
        <f t="shared" ref="AQ71:AQ102" si="24">COUNTIF(G71:AK71,"年")</f>
        <v>0</v>
      </c>
      <c r="AR71" s="168"/>
      <c r="AS71" s="168">
        <f t="shared" ref="AS71:AS102" si="25">COUNTIF(G71:AK71,"伤")</f>
        <v>0</v>
      </c>
      <c r="AT71" s="168"/>
      <c r="AU71" s="168"/>
      <c r="AV71" s="168"/>
      <c r="AW71" s="168">
        <f t="shared" ref="AW71:AW102" si="26">COUNTIF(G71:AK71,"康")</f>
        <v>0</v>
      </c>
      <c r="AX71" s="168"/>
      <c r="AY71" s="168"/>
      <c r="AZ71" s="168">
        <f t="shared" ref="AZ71:AZ102" si="27">SUM(AN71:AY71)-AW71</f>
        <v>0</v>
      </c>
      <c r="BA71" s="172"/>
      <c r="IH71" s="142"/>
      <c r="II71" s="142"/>
      <c r="IJ71" s="142"/>
      <c r="IK71" s="142"/>
      <c r="IL71" s="142"/>
      <c r="IM71" s="142"/>
      <c r="IN71" s="142"/>
    </row>
    <row r="72" s="135" customFormat="1" ht="12.95" customHeight="1" spans="1:248">
      <c r="A72" s="157">
        <f t="shared" si="20"/>
        <v>67</v>
      </c>
      <c r="B72" s="158" t="s">
        <v>41</v>
      </c>
      <c r="C72" s="1">
        <v>7610831</v>
      </c>
      <c r="D72" s="1" t="s">
        <v>136</v>
      </c>
      <c r="E72" s="1" t="s">
        <v>51</v>
      </c>
      <c r="F72" s="1" t="s">
        <v>52</v>
      </c>
      <c r="G72" s="1" t="s">
        <v>60</v>
      </c>
      <c r="H72" s="1" t="s">
        <v>34</v>
      </c>
      <c r="I72" s="1" t="s">
        <v>61</v>
      </c>
      <c r="J72" s="1" t="s">
        <v>53</v>
      </c>
      <c r="K72" s="1" t="s">
        <v>60</v>
      </c>
      <c r="L72" s="1" t="s">
        <v>34</v>
      </c>
      <c r="M72" s="1" t="s">
        <v>61</v>
      </c>
      <c r="N72" s="1" t="s">
        <v>53</v>
      </c>
      <c r="O72" s="1" t="s">
        <v>60</v>
      </c>
      <c r="P72" s="1" t="s">
        <v>34</v>
      </c>
      <c r="Q72" s="1" t="s">
        <v>61</v>
      </c>
      <c r="R72" s="1" t="s">
        <v>53</v>
      </c>
      <c r="S72" s="1" t="s">
        <v>60</v>
      </c>
      <c r="T72" s="1" t="s">
        <v>34</v>
      </c>
      <c r="U72" s="1" t="s">
        <v>61</v>
      </c>
      <c r="V72" s="1" t="s">
        <v>53</v>
      </c>
      <c r="W72" s="1" t="s">
        <v>60</v>
      </c>
      <c r="X72" s="1" t="s">
        <v>34</v>
      </c>
      <c r="Y72" s="1" t="s">
        <v>61</v>
      </c>
      <c r="Z72" s="1" t="s">
        <v>53</v>
      </c>
      <c r="AA72" s="1" t="s">
        <v>60</v>
      </c>
      <c r="AB72" s="1" t="s">
        <v>34</v>
      </c>
      <c r="AC72" s="1" t="s">
        <v>61</v>
      </c>
      <c r="AD72" s="1" t="s">
        <v>53</v>
      </c>
      <c r="AE72" s="1" t="s">
        <v>60</v>
      </c>
      <c r="AF72" s="1" t="s">
        <v>34</v>
      </c>
      <c r="AG72" s="1" t="s">
        <v>61</v>
      </c>
      <c r="AH72" s="1" t="s">
        <v>53</v>
      </c>
      <c r="AI72" s="1" t="s">
        <v>60</v>
      </c>
      <c r="AJ72" s="1" t="s">
        <v>34</v>
      </c>
      <c r="AK72" s="1" t="s">
        <v>61</v>
      </c>
      <c r="AL72" s="1">
        <v>31</v>
      </c>
      <c r="AM72" s="1">
        <v>31</v>
      </c>
      <c r="AN72" s="168">
        <f t="shared" si="21"/>
        <v>0</v>
      </c>
      <c r="AO72" s="168">
        <f t="shared" si="22"/>
        <v>0</v>
      </c>
      <c r="AP72" s="168">
        <f t="shared" si="23"/>
        <v>0</v>
      </c>
      <c r="AQ72" s="168">
        <f t="shared" si="24"/>
        <v>0</v>
      </c>
      <c r="AR72" s="168"/>
      <c r="AS72" s="168">
        <f t="shared" si="25"/>
        <v>0</v>
      </c>
      <c r="AT72" s="168"/>
      <c r="AU72" s="168"/>
      <c r="AV72" s="168"/>
      <c r="AW72" s="168">
        <f t="shared" si="26"/>
        <v>0</v>
      </c>
      <c r="AX72" s="168"/>
      <c r="AY72" s="168"/>
      <c r="AZ72" s="168">
        <f t="shared" si="27"/>
        <v>0</v>
      </c>
      <c r="BA72" s="172"/>
      <c r="IH72" s="142"/>
      <c r="II72" s="142"/>
      <c r="IJ72" s="142"/>
      <c r="IK72" s="142"/>
      <c r="IL72" s="142"/>
      <c r="IM72" s="142"/>
      <c r="IN72" s="142"/>
    </row>
    <row r="73" s="135" customFormat="1" ht="12.95" customHeight="1" spans="1:248">
      <c r="A73" s="157">
        <f t="shared" si="20"/>
        <v>68</v>
      </c>
      <c r="B73" s="158" t="s">
        <v>41</v>
      </c>
      <c r="C73" s="1">
        <v>7610844</v>
      </c>
      <c r="D73" s="1" t="s">
        <v>137</v>
      </c>
      <c r="E73" s="1" t="s">
        <v>51</v>
      </c>
      <c r="F73" s="1" t="s">
        <v>52</v>
      </c>
      <c r="G73" s="154" t="s">
        <v>34</v>
      </c>
      <c r="H73" s="1" t="s">
        <v>54</v>
      </c>
      <c r="I73" s="1" t="s">
        <v>53</v>
      </c>
      <c r="J73" s="1" t="s">
        <v>34</v>
      </c>
      <c r="K73" s="165" t="s">
        <v>43</v>
      </c>
      <c r="L73" s="1" t="s">
        <v>55</v>
      </c>
      <c r="M73" s="1" t="s">
        <v>55</v>
      </c>
      <c r="N73" s="1" t="s">
        <v>34</v>
      </c>
      <c r="O73" s="1" t="s">
        <v>55</v>
      </c>
      <c r="P73" s="1" t="s">
        <v>55</v>
      </c>
      <c r="Q73" s="1" t="s">
        <v>34</v>
      </c>
      <c r="R73" s="1" t="s">
        <v>55</v>
      </c>
      <c r="S73" s="1" t="s">
        <v>55</v>
      </c>
      <c r="T73" s="1" t="s">
        <v>34</v>
      </c>
      <c r="U73" s="1" t="s">
        <v>55</v>
      </c>
      <c r="V73" s="1" t="s">
        <v>55</v>
      </c>
      <c r="W73" s="1" t="s">
        <v>34</v>
      </c>
      <c r="X73" s="1" t="s">
        <v>55</v>
      </c>
      <c r="Y73" s="1" t="s">
        <v>55</v>
      </c>
      <c r="Z73" s="1" t="s">
        <v>34</v>
      </c>
      <c r="AA73" s="1" t="s">
        <v>55</v>
      </c>
      <c r="AB73" s="1" t="s">
        <v>55</v>
      </c>
      <c r="AC73" s="1" t="s">
        <v>34</v>
      </c>
      <c r="AD73" s="1" t="s">
        <v>34</v>
      </c>
      <c r="AE73" s="1" t="s">
        <v>34</v>
      </c>
      <c r="AF73" s="1" t="s">
        <v>53</v>
      </c>
      <c r="AG73" s="1" t="s">
        <v>34</v>
      </c>
      <c r="AH73" s="1" t="s">
        <v>55</v>
      </c>
      <c r="AI73" s="1" t="s">
        <v>55</v>
      </c>
      <c r="AJ73" s="1" t="s">
        <v>34</v>
      </c>
      <c r="AK73" s="1" t="s">
        <v>53</v>
      </c>
      <c r="AL73" s="1">
        <v>31</v>
      </c>
      <c r="AM73" s="1">
        <v>31</v>
      </c>
      <c r="AN73" s="168">
        <f t="shared" si="21"/>
        <v>0</v>
      </c>
      <c r="AO73" s="168">
        <f t="shared" si="22"/>
        <v>0</v>
      </c>
      <c r="AP73" s="168">
        <f t="shared" si="23"/>
        <v>0</v>
      </c>
      <c r="AQ73" s="168">
        <f t="shared" si="24"/>
        <v>0</v>
      </c>
      <c r="AR73" s="168"/>
      <c r="AS73" s="168">
        <f t="shared" si="25"/>
        <v>0</v>
      </c>
      <c r="AT73" s="168"/>
      <c r="AU73" s="168"/>
      <c r="AV73" s="168"/>
      <c r="AW73" s="168">
        <f t="shared" si="26"/>
        <v>0</v>
      </c>
      <c r="AX73" s="168"/>
      <c r="AY73" s="168"/>
      <c r="AZ73" s="168">
        <f t="shared" si="27"/>
        <v>0</v>
      </c>
      <c r="BA73" s="141" t="s">
        <v>57</v>
      </c>
      <c r="IH73" s="142"/>
      <c r="II73" s="142"/>
      <c r="IJ73" s="142"/>
      <c r="IK73" s="142"/>
      <c r="IL73" s="142"/>
      <c r="IM73" s="142"/>
      <c r="IN73" s="142"/>
    </row>
    <row r="74" s="135" customFormat="1" ht="12.95" customHeight="1" spans="1:248">
      <c r="A74" s="157">
        <f t="shared" si="20"/>
        <v>69</v>
      </c>
      <c r="B74" s="158" t="s">
        <v>44</v>
      </c>
      <c r="C74" s="1">
        <v>7612455</v>
      </c>
      <c r="D74" s="1" t="s">
        <v>138</v>
      </c>
      <c r="E74" s="1" t="s">
        <v>59</v>
      </c>
      <c r="F74" s="1" t="s">
        <v>52</v>
      </c>
      <c r="G74" s="1" t="s">
        <v>34</v>
      </c>
      <c r="H74" s="1" t="s">
        <v>53</v>
      </c>
      <c r="I74" s="1" t="s">
        <v>54</v>
      </c>
      <c r="J74" s="1" t="s">
        <v>34</v>
      </c>
      <c r="K74" s="1" t="s">
        <v>34</v>
      </c>
      <c r="L74" s="1" t="s">
        <v>53</v>
      </c>
      <c r="M74" s="1" t="s">
        <v>54</v>
      </c>
      <c r="N74" s="1" t="s">
        <v>34</v>
      </c>
      <c r="O74" s="1" t="s">
        <v>53</v>
      </c>
      <c r="P74" s="1" t="s">
        <v>54</v>
      </c>
      <c r="Q74" s="1" t="s">
        <v>34</v>
      </c>
      <c r="R74" s="1" t="s">
        <v>53</v>
      </c>
      <c r="S74" s="1" t="s">
        <v>54</v>
      </c>
      <c r="T74" s="1" t="s">
        <v>34</v>
      </c>
      <c r="U74" s="1" t="s">
        <v>53</v>
      </c>
      <c r="V74" s="1" t="s">
        <v>54</v>
      </c>
      <c r="W74" s="1" t="s">
        <v>34</v>
      </c>
      <c r="X74" s="1" t="s">
        <v>53</v>
      </c>
      <c r="Y74" s="1" t="s">
        <v>34</v>
      </c>
      <c r="Z74" s="1" t="s">
        <v>34</v>
      </c>
      <c r="AA74" s="1" t="s">
        <v>53</v>
      </c>
      <c r="AB74" s="1" t="s">
        <v>54</v>
      </c>
      <c r="AC74" s="1" t="s">
        <v>34</v>
      </c>
      <c r="AD74" s="1" t="s">
        <v>53</v>
      </c>
      <c r="AE74" s="1" t="s">
        <v>53</v>
      </c>
      <c r="AF74" s="165" t="s">
        <v>54</v>
      </c>
      <c r="AG74" s="165" t="s">
        <v>43</v>
      </c>
      <c r="AH74" s="165" t="s">
        <v>43</v>
      </c>
      <c r="AI74" s="165" t="s">
        <v>43</v>
      </c>
      <c r="AJ74" s="165" t="s">
        <v>43</v>
      </c>
      <c r="AK74" s="1" t="s">
        <v>34</v>
      </c>
      <c r="AL74" s="1">
        <v>31</v>
      </c>
      <c r="AM74" s="1">
        <v>31</v>
      </c>
      <c r="AN74" s="168">
        <f t="shared" si="21"/>
        <v>0</v>
      </c>
      <c r="AO74" s="168">
        <f t="shared" si="22"/>
        <v>0</v>
      </c>
      <c r="AP74" s="168">
        <f t="shared" si="23"/>
        <v>0</v>
      </c>
      <c r="AQ74" s="168">
        <f t="shared" si="24"/>
        <v>0</v>
      </c>
      <c r="AR74" s="168"/>
      <c r="AS74" s="168">
        <f t="shared" si="25"/>
        <v>0</v>
      </c>
      <c r="AT74" s="168"/>
      <c r="AU74" s="168"/>
      <c r="AV74" s="168"/>
      <c r="AW74" s="168">
        <f t="shared" si="26"/>
        <v>0</v>
      </c>
      <c r="AX74" s="168"/>
      <c r="AY74" s="168"/>
      <c r="AZ74" s="168">
        <f t="shared" si="27"/>
        <v>0</v>
      </c>
      <c r="BA74" s="172"/>
      <c r="IH74" s="142"/>
      <c r="II74" s="142"/>
      <c r="IJ74" s="142"/>
      <c r="IK74" s="142"/>
      <c r="IL74" s="142"/>
      <c r="IM74" s="142"/>
      <c r="IN74" s="142"/>
    </row>
    <row r="75" s="137" customFormat="1" ht="12.95" customHeight="1" spans="1:248">
      <c r="A75" s="157">
        <f t="shared" si="20"/>
        <v>70</v>
      </c>
      <c r="B75" s="158" t="s">
        <v>44</v>
      </c>
      <c r="C75" s="1">
        <v>7611508</v>
      </c>
      <c r="D75" s="1" t="s">
        <v>139</v>
      </c>
      <c r="E75" s="1" t="s">
        <v>51</v>
      </c>
      <c r="F75" s="1" t="s">
        <v>52</v>
      </c>
      <c r="G75" s="1" t="s">
        <v>34</v>
      </c>
      <c r="H75" s="1" t="s">
        <v>53</v>
      </c>
      <c r="I75" s="1" t="s">
        <v>54</v>
      </c>
      <c r="J75" s="1" t="s">
        <v>34</v>
      </c>
      <c r="K75" s="1" t="s">
        <v>34</v>
      </c>
      <c r="L75" s="1" t="s">
        <v>53</v>
      </c>
      <c r="M75" s="1" t="s">
        <v>54</v>
      </c>
      <c r="N75" s="1" t="s">
        <v>34</v>
      </c>
      <c r="O75" s="1" t="s">
        <v>34</v>
      </c>
      <c r="P75" s="1" t="s">
        <v>56</v>
      </c>
      <c r="Q75" s="1" t="s">
        <v>56</v>
      </c>
      <c r="R75" s="1" t="s">
        <v>54</v>
      </c>
      <c r="S75" s="1" t="s">
        <v>34</v>
      </c>
      <c r="T75" s="1" t="s">
        <v>53</v>
      </c>
      <c r="U75" s="1" t="s">
        <v>54</v>
      </c>
      <c r="V75" s="1" t="s">
        <v>34</v>
      </c>
      <c r="W75" s="1" t="s">
        <v>53</v>
      </c>
      <c r="X75" s="1" t="s">
        <v>54</v>
      </c>
      <c r="Y75" s="1" t="s">
        <v>34</v>
      </c>
      <c r="Z75" s="1" t="s">
        <v>53</v>
      </c>
      <c r="AA75" s="1" t="s">
        <v>54</v>
      </c>
      <c r="AB75" s="1" t="s">
        <v>34</v>
      </c>
      <c r="AC75" s="1" t="s">
        <v>34</v>
      </c>
      <c r="AD75" s="1" t="s">
        <v>53</v>
      </c>
      <c r="AE75" s="1" t="s">
        <v>54</v>
      </c>
      <c r="AF75" s="1" t="s">
        <v>34</v>
      </c>
      <c r="AG75" s="1" t="s">
        <v>34</v>
      </c>
      <c r="AH75" s="1" t="s">
        <v>53</v>
      </c>
      <c r="AI75" s="1" t="s">
        <v>54</v>
      </c>
      <c r="AJ75" s="1" t="s">
        <v>34</v>
      </c>
      <c r="AK75" s="1" t="s">
        <v>34</v>
      </c>
      <c r="AL75" s="1">
        <v>31</v>
      </c>
      <c r="AM75" s="1">
        <v>29</v>
      </c>
      <c r="AN75" s="168">
        <f t="shared" si="21"/>
        <v>0</v>
      </c>
      <c r="AO75" s="168">
        <f t="shared" si="22"/>
        <v>0</v>
      </c>
      <c r="AP75" s="168">
        <f t="shared" si="23"/>
        <v>0</v>
      </c>
      <c r="AQ75" s="168">
        <f t="shared" si="24"/>
        <v>2</v>
      </c>
      <c r="AR75" s="168"/>
      <c r="AS75" s="168">
        <f t="shared" si="25"/>
        <v>0</v>
      </c>
      <c r="AT75" s="168"/>
      <c r="AU75" s="168"/>
      <c r="AV75" s="168"/>
      <c r="AW75" s="168">
        <f t="shared" si="26"/>
        <v>0</v>
      </c>
      <c r="AX75" s="168"/>
      <c r="AY75" s="168"/>
      <c r="AZ75" s="168">
        <f t="shared" si="27"/>
        <v>2</v>
      </c>
      <c r="BA75" s="172"/>
      <c r="BB75" s="135"/>
      <c r="BC75" s="135"/>
      <c r="IH75" s="175"/>
      <c r="II75" s="175"/>
      <c r="IJ75" s="175"/>
      <c r="IK75" s="175"/>
      <c r="IL75" s="175"/>
      <c r="IM75" s="175"/>
      <c r="IN75" s="175"/>
    </row>
    <row r="76" s="135" customFormat="1" ht="12.95" customHeight="1" spans="1:248">
      <c r="A76" s="157">
        <f t="shared" si="20"/>
        <v>71</v>
      </c>
      <c r="B76" s="158" t="s">
        <v>44</v>
      </c>
      <c r="C76" s="1">
        <v>7612673</v>
      </c>
      <c r="D76" s="1" t="s">
        <v>140</v>
      </c>
      <c r="E76" s="1" t="s">
        <v>59</v>
      </c>
      <c r="F76" s="1" t="s">
        <v>52</v>
      </c>
      <c r="G76" s="1" t="s">
        <v>34</v>
      </c>
      <c r="H76" s="1" t="s">
        <v>53</v>
      </c>
      <c r="I76" s="1" t="s">
        <v>54</v>
      </c>
      <c r="J76" s="1" t="s">
        <v>34</v>
      </c>
      <c r="K76" s="1" t="s">
        <v>54</v>
      </c>
      <c r="L76" s="1" t="s">
        <v>34</v>
      </c>
      <c r="M76" s="1" t="s">
        <v>34</v>
      </c>
      <c r="N76" s="1" t="s">
        <v>56</v>
      </c>
      <c r="O76" s="1" t="s">
        <v>56</v>
      </c>
      <c r="P76" s="1" t="s">
        <v>56</v>
      </c>
      <c r="Q76" s="1" t="s">
        <v>56</v>
      </c>
      <c r="R76" s="1" t="s">
        <v>34</v>
      </c>
      <c r="S76" s="1" t="s">
        <v>53</v>
      </c>
      <c r="T76" s="1" t="s">
        <v>54</v>
      </c>
      <c r="U76" s="1" t="s">
        <v>34</v>
      </c>
      <c r="V76" s="1" t="s">
        <v>53</v>
      </c>
      <c r="W76" s="1" t="s">
        <v>54</v>
      </c>
      <c r="X76" s="1" t="s">
        <v>34</v>
      </c>
      <c r="Y76" s="1" t="s">
        <v>53</v>
      </c>
      <c r="Z76" s="1" t="s">
        <v>54</v>
      </c>
      <c r="AA76" s="1" t="s">
        <v>34</v>
      </c>
      <c r="AB76" s="1" t="s">
        <v>53</v>
      </c>
      <c r="AC76" s="1" t="s">
        <v>54</v>
      </c>
      <c r="AD76" s="1" t="s">
        <v>34</v>
      </c>
      <c r="AE76" s="165" t="s">
        <v>43</v>
      </c>
      <c r="AF76" s="165" t="s">
        <v>43</v>
      </c>
      <c r="AG76" s="1" t="s">
        <v>34</v>
      </c>
      <c r="AH76" s="165" t="s">
        <v>43</v>
      </c>
      <c r="AI76" s="165" t="s">
        <v>43</v>
      </c>
      <c r="AJ76" s="1" t="s">
        <v>55</v>
      </c>
      <c r="AK76" s="1" t="s">
        <v>55</v>
      </c>
      <c r="AL76" s="1">
        <v>31</v>
      </c>
      <c r="AM76" s="1">
        <v>27</v>
      </c>
      <c r="AN76" s="168">
        <f t="shared" si="21"/>
        <v>0</v>
      </c>
      <c r="AO76" s="168">
        <f t="shared" si="22"/>
        <v>0</v>
      </c>
      <c r="AP76" s="168">
        <f t="shared" si="23"/>
        <v>0</v>
      </c>
      <c r="AQ76" s="168">
        <f t="shared" si="24"/>
        <v>4</v>
      </c>
      <c r="AR76" s="168"/>
      <c r="AS76" s="168">
        <f t="shared" si="25"/>
        <v>0</v>
      </c>
      <c r="AT76" s="168"/>
      <c r="AU76" s="168"/>
      <c r="AV76" s="168"/>
      <c r="AW76" s="168">
        <f t="shared" si="26"/>
        <v>0</v>
      </c>
      <c r="AX76" s="168"/>
      <c r="AY76" s="168"/>
      <c r="AZ76" s="168">
        <f t="shared" si="27"/>
        <v>4</v>
      </c>
      <c r="BA76" s="172" t="s">
        <v>96</v>
      </c>
      <c r="IH76" s="142"/>
      <c r="II76" s="142"/>
      <c r="IJ76" s="142"/>
      <c r="IK76" s="142"/>
      <c r="IL76" s="142"/>
      <c r="IM76" s="142"/>
      <c r="IN76" s="142"/>
    </row>
    <row r="77" s="135" customFormat="1" ht="12.95" customHeight="1" spans="1:248">
      <c r="A77" s="157">
        <f t="shared" si="20"/>
        <v>72</v>
      </c>
      <c r="B77" s="158" t="s">
        <v>44</v>
      </c>
      <c r="C77" s="159">
        <v>7612650</v>
      </c>
      <c r="D77" s="1" t="s">
        <v>141</v>
      </c>
      <c r="E77" s="1" t="s">
        <v>59</v>
      </c>
      <c r="F77" s="1" t="s">
        <v>52</v>
      </c>
      <c r="G77" s="165" t="s">
        <v>123</v>
      </c>
      <c r="H77" s="165" t="s">
        <v>123</v>
      </c>
      <c r="I77" s="165" t="s">
        <v>123</v>
      </c>
      <c r="J77" s="1" t="s">
        <v>34</v>
      </c>
      <c r="K77" s="1" t="s">
        <v>34</v>
      </c>
      <c r="L77" s="1" t="s">
        <v>34</v>
      </c>
      <c r="M77" s="1" t="s">
        <v>34</v>
      </c>
      <c r="N77" s="165" t="s">
        <v>43</v>
      </c>
      <c r="O77" s="165" t="s">
        <v>43</v>
      </c>
      <c r="P77" s="165" t="s">
        <v>43</v>
      </c>
      <c r="Q77" s="165" t="s">
        <v>43</v>
      </c>
      <c r="R77" s="165" t="s">
        <v>43</v>
      </c>
      <c r="S77" s="165" t="s">
        <v>43</v>
      </c>
      <c r="T77" s="165" t="s">
        <v>43</v>
      </c>
      <c r="U77" s="165" t="s">
        <v>43</v>
      </c>
      <c r="V77" s="165" t="s">
        <v>43</v>
      </c>
      <c r="W77" s="165" t="s">
        <v>43</v>
      </c>
      <c r="X77" s="165" t="s">
        <v>43</v>
      </c>
      <c r="Y77" s="165" t="s">
        <v>43</v>
      </c>
      <c r="Z77" s="165" t="s">
        <v>43</v>
      </c>
      <c r="AA77" s="165" t="s">
        <v>43</v>
      </c>
      <c r="AB77" s="165" t="s">
        <v>43</v>
      </c>
      <c r="AC77" s="165" t="s">
        <v>43</v>
      </c>
      <c r="AD77" s="165" t="s">
        <v>43</v>
      </c>
      <c r="AE77" s="165" t="s">
        <v>43</v>
      </c>
      <c r="AF77" s="165" t="s">
        <v>43</v>
      </c>
      <c r="AG77" s="165" t="s">
        <v>43</v>
      </c>
      <c r="AH77" s="165" t="s">
        <v>43</v>
      </c>
      <c r="AI77" s="165" t="s">
        <v>43</v>
      </c>
      <c r="AJ77" s="165" t="s">
        <v>43</v>
      </c>
      <c r="AK77" s="165" t="s">
        <v>43</v>
      </c>
      <c r="AL77" s="1">
        <v>24</v>
      </c>
      <c r="AM77" s="1">
        <v>24</v>
      </c>
      <c r="AN77" s="168">
        <f t="shared" si="21"/>
        <v>0</v>
      </c>
      <c r="AO77" s="168">
        <f t="shared" si="22"/>
        <v>0</v>
      </c>
      <c r="AP77" s="168">
        <f t="shared" si="23"/>
        <v>0</v>
      </c>
      <c r="AQ77" s="168">
        <f t="shared" si="24"/>
        <v>0</v>
      </c>
      <c r="AR77" s="168"/>
      <c r="AS77" s="168">
        <f t="shared" si="25"/>
        <v>0</v>
      </c>
      <c r="AT77" s="168"/>
      <c r="AU77" s="168"/>
      <c r="AV77" s="168"/>
      <c r="AW77" s="168">
        <f t="shared" si="26"/>
        <v>0</v>
      </c>
      <c r="AX77" s="168"/>
      <c r="AY77" s="168"/>
      <c r="AZ77" s="168">
        <f t="shared" si="27"/>
        <v>0</v>
      </c>
      <c r="BA77" s="172" t="s">
        <v>142</v>
      </c>
      <c r="IH77" s="142"/>
      <c r="II77" s="142"/>
      <c r="IJ77" s="142"/>
      <c r="IK77" s="142"/>
      <c r="IL77" s="142"/>
      <c r="IM77" s="142"/>
      <c r="IN77" s="142"/>
    </row>
    <row r="78" s="135" customFormat="1" ht="12.95" customHeight="1" spans="1:248">
      <c r="A78" s="157">
        <f t="shared" si="20"/>
        <v>73</v>
      </c>
      <c r="B78" s="164" t="s">
        <v>44</v>
      </c>
      <c r="C78" s="1">
        <v>7612659</v>
      </c>
      <c r="D78" s="1" t="s">
        <v>143</v>
      </c>
      <c r="E78" s="1" t="s">
        <v>59</v>
      </c>
      <c r="F78" s="1" t="s">
        <v>52</v>
      </c>
      <c r="G78" s="1" t="s">
        <v>54</v>
      </c>
      <c r="H78" s="1" t="s">
        <v>34</v>
      </c>
      <c r="I78" s="1" t="s">
        <v>34</v>
      </c>
      <c r="J78" s="1" t="s">
        <v>53</v>
      </c>
      <c r="K78" s="1" t="s">
        <v>54</v>
      </c>
      <c r="L78" s="1" t="s">
        <v>34</v>
      </c>
      <c r="M78" s="1" t="s">
        <v>34</v>
      </c>
      <c r="N78" s="1" t="s">
        <v>53</v>
      </c>
      <c r="O78" s="1" t="s">
        <v>54</v>
      </c>
      <c r="P78" s="1" t="s">
        <v>34</v>
      </c>
      <c r="Q78" s="1" t="s">
        <v>53</v>
      </c>
      <c r="R78" s="1" t="s">
        <v>54</v>
      </c>
      <c r="S78" s="1" t="s">
        <v>34</v>
      </c>
      <c r="T78" s="1" t="s">
        <v>53</v>
      </c>
      <c r="U78" s="1" t="s">
        <v>54</v>
      </c>
      <c r="V78" s="1" t="s">
        <v>34</v>
      </c>
      <c r="W78" s="1" t="s">
        <v>53</v>
      </c>
      <c r="X78" s="1" t="s">
        <v>54</v>
      </c>
      <c r="Y78" s="1" t="s">
        <v>34</v>
      </c>
      <c r="Z78" s="1" t="s">
        <v>53</v>
      </c>
      <c r="AA78" s="1" t="s">
        <v>54</v>
      </c>
      <c r="AB78" s="1" t="s">
        <v>34</v>
      </c>
      <c r="AC78" s="1" t="s">
        <v>53</v>
      </c>
      <c r="AD78" s="1" t="s">
        <v>54</v>
      </c>
      <c r="AE78" s="1" t="s">
        <v>34</v>
      </c>
      <c r="AF78" s="165" t="s">
        <v>43</v>
      </c>
      <c r="AG78" s="165" t="s">
        <v>43</v>
      </c>
      <c r="AH78" s="165" t="s">
        <v>43</v>
      </c>
      <c r="AI78" s="165" t="s">
        <v>43</v>
      </c>
      <c r="AJ78" s="1" t="s">
        <v>34</v>
      </c>
      <c r="AK78" s="1" t="s">
        <v>55</v>
      </c>
      <c r="AL78" s="1">
        <v>31</v>
      </c>
      <c r="AM78" s="1">
        <v>31</v>
      </c>
      <c r="AN78" s="168">
        <f t="shared" si="21"/>
        <v>0</v>
      </c>
      <c r="AO78" s="168">
        <f t="shared" si="22"/>
        <v>0</v>
      </c>
      <c r="AP78" s="168">
        <f t="shared" si="23"/>
        <v>0</v>
      </c>
      <c r="AQ78" s="168">
        <f t="shared" si="24"/>
        <v>0</v>
      </c>
      <c r="AR78" s="168"/>
      <c r="AS78" s="168">
        <f t="shared" si="25"/>
        <v>0</v>
      </c>
      <c r="AT78" s="168"/>
      <c r="AU78" s="168"/>
      <c r="AV78" s="168"/>
      <c r="AW78" s="168">
        <f t="shared" si="26"/>
        <v>0</v>
      </c>
      <c r="AX78" s="168"/>
      <c r="AY78" s="168"/>
      <c r="AZ78" s="168">
        <f t="shared" si="27"/>
        <v>0</v>
      </c>
      <c r="BA78" s="172" t="s">
        <v>63</v>
      </c>
      <c r="IH78" s="142"/>
      <c r="II78" s="142"/>
      <c r="IJ78" s="142"/>
      <c r="IK78" s="142"/>
      <c r="IL78" s="142"/>
      <c r="IM78" s="142"/>
      <c r="IN78" s="142"/>
    </row>
    <row r="79" s="135" customFormat="1" ht="12.95" customHeight="1" spans="1:248">
      <c r="A79" s="157">
        <f t="shared" ref="A79:A91" si="28">ROW()-5</f>
        <v>74</v>
      </c>
      <c r="B79" s="164" t="s">
        <v>44</v>
      </c>
      <c r="C79" s="159">
        <v>7611439</v>
      </c>
      <c r="D79" s="1" t="s">
        <v>144</v>
      </c>
      <c r="E79" s="1" t="s">
        <v>51</v>
      </c>
      <c r="F79" s="1" t="s">
        <v>52</v>
      </c>
      <c r="G79" s="1" t="s">
        <v>54</v>
      </c>
      <c r="H79" s="1" t="s">
        <v>34</v>
      </c>
      <c r="I79" s="1" t="s">
        <v>34</v>
      </c>
      <c r="J79" s="1" t="s">
        <v>53</v>
      </c>
      <c r="K79" s="1" t="s">
        <v>54</v>
      </c>
      <c r="L79" s="1" t="s">
        <v>34</v>
      </c>
      <c r="M79" s="1" t="s">
        <v>34</v>
      </c>
      <c r="N79" s="1" t="s">
        <v>53</v>
      </c>
      <c r="O79" s="1" t="s">
        <v>54</v>
      </c>
      <c r="P79" s="1" t="s">
        <v>34</v>
      </c>
      <c r="Q79" s="1" t="s">
        <v>53</v>
      </c>
      <c r="R79" s="1" t="s">
        <v>54</v>
      </c>
      <c r="S79" s="1" t="s">
        <v>34</v>
      </c>
      <c r="T79" s="165" t="s">
        <v>43</v>
      </c>
      <c r="U79" s="165" t="s">
        <v>43</v>
      </c>
      <c r="V79" s="165" t="s">
        <v>43</v>
      </c>
      <c r="W79" s="165" t="s">
        <v>43</v>
      </c>
      <c r="X79" s="165" t="s">
        <v>43</v>
      </c>
      <c r="Y79" s="165" t="s">
        <v>43</v>
      </c>
      <c r="Z79" s="1" t="s">
        <v>53</v>
      </c>
      <c r="AA79" s="1" t="s">
        <v>54</v>
      </c>
      <c r="AB79" s="1" t="s">
        <v>34</v>
      </c>
      <c r="AC79" s="1" t="s">
        <v>53</v>
      </c>
      <c r="AD79" s="1" t="s">
        <v>54</v>
      </c>
      <c r="AE79" s="1" t="s">
        <v>34</v>
      </c>
      <c r="AF79" s="1" t="s">
        <v>75</v>
      </c>
      <c r="AG79" s="1" t="s">
        <v>75</v>
      </c>
      <c r="AH79" s="1" t="s">
        <v>75</v>
      </c>
      <c r="AI79" s="1" t="s">
        <v>75</v>
      </c>
      <c r="AJ79" s="1" t="s">
        <v>75</v>
      </c>
      <c r="AK79" s="1" t="s">
        <v>75</v>
      </c>
      <c r="AL79" s="1">
        <v>31</v>
      </c>
      <c r="AM79" s="1">
        <v>25</v>
      </c>
      <c r="AN79" s="168">
        <f t="shared" si="21"/>
        <v>6</v>
      </c>
      <c r="AO79" s="168">
        <f t="shared" si="22"/>
        <v>0</v>
      </c>
      <c r="AP79" s="168">
        <f t="shared" si="23"/>
        <v>0</v>
      </c>
      <c r="AQ79" s="168">
        <f t="shared" si="24"/>
        <v>0</v>
      </c>
      <c r="AR79" s="168"/>
      <c r="AS79" s="168">
        <f t="shared" si="25"/>
        <v>0</v>
      </c>
      <c r="AT79" s="168"/>
      <c r="AU79" s="168"/>
      <c r="AV79" s="168"/>
      <c r="AW79" s="168">
        <f t="shared" si="26"/>
        <v>0</v>
      </c>
      <c r="AX79" s="168"/>
      <c r="AY79" s="168"/>
      <c r="AZ79" s="168">
        <f t="shared" si="27"/>
        <v>6</v>
      </c>
      <c r="BA79" s="172"/>
      <c r="IH79" s="142"/>
      <c r="II79" s="142"/>
      <c r="IJ79" s="142"/>
      <c r="IK79" s="142"/>
      <c r="IL79" s="142"/>
      <c r="IM79" s="142"/>
      <c r="IN79" s="142"/>
    </row>
    <row r="80" s="135" customFormat="1" ht="13" customHeight="1" spans="1:248">
      <c r="A80" s="157">
        <f t="shared" si="28"/>
        <v>75</v>
      </c>
      <c r="B80" s="158" t="s">
        <v>44</v>
      </c>
      <c r="C80" s="1">
        <v>7612035</v>
      </c>
      <c r="D80" s="1" t="s">
        <v>145</v>
      </c>
      <c r="E80" s="1" t="s">
        <v>51</v>
      </c>
      <c r="F80" s="1" t="s">
        <v>52</v>
      </c>
      <c r="G80" s="1" t="s">
        <v>54</v>
      </c>
      <c r="H80" s="1" t="s">
        <v>34</v>
      </c>
      <c r="I80" s="1" t="s">
        <v>53</v>
      </c>
      <c r="J80" s="1" t="s">
        <v>54</v>
      </c>
      <c r="K80" s="1" t="s">
        <v>54</v>
      </c>
      <c r="L80" s="1" t="s">
        <v>34</v>
      </c>
      <c r="M80" s="1" t="s">
        <v>34</v>
      </c>
      <c r="N80" s="1" t="s">
        <v>53</v>
      </c>
      <c r="O80" s="1" t="s">
        <v>54</v>
      </c>
      <c r="P80" s="1" t="s">
        <v>34</v>
      </c>
      <c r="Q80" s="1" t="s">
        <v>34</v>
      </c>
      <c r="R80" s="1" t="s">
        <v>53</v>
      </c>
      <c r="S80" s="1" t="s">
        <v>54</v>
      </c>
      <c r="T80" s="1" t="s">
        <v>34</v>
      </c>
      <c r="U80" s="1" t="s">
        <v>53</v>
      </c>
      <c r="V80" s="1" t="s">
        <v>54</v>
      </c>
      <c r="W80" s="1" t="s">
        <v>34</v>
      </c>
      <c r="X80" s="1" t="s">
        <v>53</v>
      </c>
      <c r="Y80" s="1" t="s">
        <v>54</v>
      </c>
      <c r="Z80" s="1" t="s">
        <v>34</v>
      </c>
      <c r="AA80" s="1" t="s">
        <v>34</v>
      </c>
      <c r="AB80" s="1" t="s">
        <v>53</v>
      </c>
      <c r="AC80" s="1" t="s">
        <v>54</v>
      </c>
      <c r="AD80" s="1" t="s">
        <v>34</v>
      </c>
      <c r="AE80" s="1" t="s">
        <v>34</v>
      </c>
      <c r="AF80" s="1" t="s">
        <v>53</v>
      </c>
      <c r="AG80" s="1" t="s">
        <v>54</v>
      </c>
      <c r="AH80" s="1" t="s">
        <v>34</v>
      </c>
      <c r="AI80" s="1" t="s">
        <v>34</v>
      </c>
      <c r="AJ80" s="1" t="s">
        <v>53</v>
      </c>
      <c r="AK80" s="1" t="s">
        <v>54</v>
      </c>
      <c r="AL80" s="1">
        <v>31</v>
      </c>
      <c r="AM80" s="1">
        <v>31</v>
      </c>
      <c r="AN80" s="168">
        <f t="shared" si="21"/>
        <v>0</v>
      </c>
      <c r="AO80" s="168">
        <f t="shared" si="22"/>
        <v>0</v>
      </c>
      <c r="AP80" s="168">
        <f t="shared" si="23"/>
        <v>0</v>
      </c>
      <c r="AQ80" s="168">
        <f t="shared" si="24"/>
        <v>0</v>
      </c>
      <c r="AR80" s="168"/>
      <c r="AS80" s="168">
        <f t="shared" si="25"/>
        <v>0</v>
      </c>
      <c r="AT80" s="168"/>
      <c r="AU80" s="168"/>
      <c r="AV80" s="168"/>
      <c r="AW80" s="168">
        <f t="shared" si="26"/>
        <v>0</v>
      </c>
      <c r="AX80" s="168"/>
      <c r="AY80" s="168"/>
      <c r="AZ80" s="168">
        <f t="shared" si="27"/>
        <v>0</v>
      </c>
      <c r="BA80" s="172"/>
      <c r="IH80" s="142"/>
      <c r="II80" s="142"/>
      <c r="IJ80" s="142"/>
      <c r="IK80" s="142"/>
      <c r="IL80" s="142"/>
      <c r="IM80" s="142"/>
      <c r="IN80" s="142"/>
    </row>
    <row r="81" ht="12.95" customHeight="1" spans="1:53">
      <c r="A81" s="157">
        <f t="shared" si="28"/>
        <v>76</v>
      </c>
      <c r="B81" s="158" t="s">
        <v>44</v>
      </c>
      <c r="C81" s="1">
        <v>7612648</v>
      </c>
      <c r="D81" s="1" t="s">
        <v>146</v>
      </c>
      <c r="E81" s="1" t="s">
        <v>59</v>
      </c>
      <c r="F81" s="1" t="s">
        <v>52</v>
      </c>
      <c r="G81" s="1" t="s">
        <v>34</v>
      </c>
      <c r="H81" s="1" t="s">
        <v>53</v>
      </c>
      <c r="I81" s="1" t="s">
        <v>54</v>
      </c>
      <c r="J81" s="1" t="s">
        <v>34</v>
      </c>
      <c r="K81" s="1" t="s">
        <v>53</v>
      </c>
      <c r="L81" s="1" t="s">
        <v>54</v>
      </c>
      <c r="M81" s="1" t="s">
        <v>34</v>
      </c>
      <c r="N81" s="165" t="s">
        <v>43</v>
      </c>
      <c r="O81" s="165" t="s">
        <v>43</v>
      </c>
      <c r="P81" s="165" t="s">
        <v>43</v>
      </c>
      <c r="Q81" s="165" t="s">
        <v>43</v>
      </c>
      <c r="R81" s="165" t="s">
        <v>43</v>
      </c>
      <c r="S81" s="165" t="s">
        <v>43</v>
      </c>
      <c r="T81" s="165" t="s">
        <v>43</v>
      </c>
      <c r="U81" s="165" t="s">
        <v>43</v>
      </c>
      <c r="V81" s="1" t="s">
        <v>34</v>
      </c>
      <c r="W81" s="1" t="s">
        <v>34</v>
      </c>
      <c r="X81" s="1" t="s">
        <v>53</v>
      </c>
      <c r="Y81" s="1" t="s">
        <v>54</v>
      </c>
      <c r="Z81" s="1" t="s">
        <v>34</v>
      </c>
      <c r="AA81" s="1" t="s">
        <v>56</v>
      </c>
      <c r="AB81" s="1" t="s">
        <v>56</v>
      </c>
      <c r="AC81" s="1" t="s">
        <v>54</v>
      </c>
      <c r="AD81" s="1" t="s">
        <v>34</v>
      </c>
      <c r="AE81" s="1" t="s">
        <v>53</v>
      </c>
      <c r="AF81" s="1" t="s">
        <v>54</v>
      </c>
      <c r="AG81" s="165" t="s">
        <v>43</v>
      </c>
      <c r="AH81" s="165" t="s">
        <v>43</v>
      </c>
      <c r="AI81" s="1" t="s">
        <v>53</v>
      </c>
      <c r="AJ81" s="1" t="s">
        <v>54</v>
      </c>
      <c r="AK81" s="1" t="s">
        <v>34</v>
      </c>
      <c r="AL81" s="1">
        <v>31</v>
      </c>
      <c r="AM81" s="1">
        <v>29</v>
      </c>
      <c r="AN81" s="168">
        <f t="shared" si="21"/>
        <v>0</v>
      </c>
      <c r="AO81" s="168">
        <f t="shared" si="22"/>
        <v>0</v>
      </c>
      <c r="AP81" s="168">
        <f t="shared" si="23"/>
        <v>0</v>
      </c>
      <c r="AQ81" s="168">
        <f t="shared" si="24"/>
        <v>2</v>
      </c>
      <c r="AR81" s="168"/>
      <c r="AS81" s="168">
        <f t="shared" si="25"/>
        <v>0</v>
      </c>
      <c r="AT81" s="168"/>
      <c r="AU81" s="168"/>
      <c r="AV81" s="168"/>
      <c r="AW81" s="168">
        <f t="shared" si="26"/>
        <v>0</v>
      </c>
      <c r="AX81" s="168"/>
      <c r="AY81" s="168"/>
      <c r="AZ81" s="168">
        <f t="shared" si="27"/>
        <v>2</v>
      </c>
      <c r="BA81" s="172"/>
    </row>
    <row r="82" s="135" customFormat="1" ht="12.95" customHeight="1" spans="1:248">
      <c r="A82" s="157">
        <f t="shared" si="28"/>
        <v>77</v>
      </c>
      <c r="B82" s="158" t="s">
        <v>44</v>
      </c>
      <c r="C82" s="1">
        <v>7611521</v>
      </c>
      <c r="D82" s="1" t="s">
        <v>147</v>
      </c>
      <c r="E82" s="1" t="s">
        <v>51</v>
      </c>
      <c r="F82" s="1" t="s">
        <v>52</v>
      </c>
      <c r="G82" s="1" t="s">
        <v>148</v>
      </c>
      <c r="H82" s="1" t="s">
        <v>148</v>
      </c>
      <c r="I82" s="1" t="s">
        <v>148</v>
      </c>
      <c r="J82" s="1" t="s">
        <v>148</v>
      </c>
      <c r="K82" s="165" t="s">
        <v>149</v>
      </c>
      <c r="L82" s="165" t="s">
        <v>149</v>
      </c>
      <c r="M82" s="165" t="s">
        <v>149</v>
      </c>
      <c r="N82" s="1" t="s">
        <v>34</v>
      </c>
      <c r="O82" s="1" t="s">
        <v>54</v>
      </c>
      <c r="P82" s="1" t="s">
        <v>54</v>
      </c>
      <c r="Q82" s="1" t="s">
        <v>34</v>
      </c>
      <c r="R82" s="1" t="s">
        <v>54</v>
      </c>
      <c r="S82" s="1" t="s">
        <v>34</v>
      </c>
      <c r="T82" s="165" t="s">
        <v>43</v>
      </c>
      <c r="U82" s="165" t="s">
        <v>43</v>
      </c>
      <c r="V82" s="165" t="s">
        <v>43</v>
      </c>
      <c r="W82" s="165" t="s">
        <v>43</v>
      </c>
      <c r="X82" s="165" t="s">
        <v>43</v>
      </c>
      <c r="Y82" s="165" t="s">
        <v>43</v>
      </c>
      <c r="Z82" s="1" t="s">
        <v>34</v>
      </c>
      <c r="AA82" s="1" t="s">
        <v>54</v>
      </c>
      <c r="AB82" s="1" t="s">
        <v>34</v>
      </c>
      <c r="AC82" s="1" t="s">
        <v>53</v>
      </c>
      <c r="AD82" s="1" t="s">
        <v>54</v>
      </c>
      <c r="AE82" s="1" t="s">
        <v>34</v>
      </c>
      <c r="AF82" s="1" t="s">
        <v>53</v>
      </c>
      <c r="AG82" s="1" t="s">
        <v>54</v>
      </c>
      <c r="AH82" s="1" t="s">
        <v>34</v>
      </c>
      <c r="AI82" s="1" t="s">
        <v>53</v>
      </c>
      <c r="AJ82" s="1" t="s">
        <v>54</v>
      </c>
      <c r="AK82" s="1" t="s">
        <v>34</v>
      </c>
      <c r="AL82" s="1">
        <v>31</v>
      </c>
      <c r="AM82" s="1">
        <v>24</v>
      </c>
      <c r="AN82" s="168">
        <f t="shared" si="21"/>
        <v>0</v>
      </c>
      <c r="AO82" s="168">
        <f t="shared" si="22"/>
        <v>0</v>
      </c>
      <c r="AP82" s="168">
        <f t="shared" si="23"/>
        <v>4</v>
      </c>
      <c r="AQ82" s="168">
        <f t="shared" si="24"/>
        <v>0</v>
      </c>
      <c r="AR82" s="168"/>
      <c r="AS82" s="168">
        <f t="shared" si="25"/>
        <v>0</v>
      </c>
      <c r="AT82" s="168"/>
      <c r="AU82" s="168"/>
      <c r="AV82" s="168"/>
      <c r="AW82" s="168">
        <f t="shared" si="26"/>
        <v>0</v>
      </c>
      <c r="AX82" s="168"/>
      <c r="AY82" s="168"/>
      <c r="AZ82" s="168">
        <f t="shared" si="27"/>
        <v>4</v>
      </c>
      <c r="BA82" s="172"/>
      <c r="IH82" s="142"/>
      <c r="II82" s="142"/>
      <c r="IJ82" s="142"/>
      <c r="IK82" s="142"/>
      <c r="IL82" s="142"/>
      <c r="IM82" s="142"/>
      <c r="IN82" s="142"/>
    </row>
    <row r="83" s="135" customFormat="1" ht="12.95" customHeight="1" spans="1:248">
      <c r="A83" s="157">
        <f t="shared" si="28"/>
        <v>78</v>
      </c>
      <c r="B83" s="158" t="s">
        <v>44</v>
      </c>
      <c r="C83" s="1">
        <v>7612690</v>
      </c>
      <c r="D83" s="1" t="s">
        <v>150</v>
      </c>
      <c r="E83" s="1" t="s">
        <v>59</v>
      </c>
      <c r="F83" s="1" t="s">
        <v>52</v>
      </c>
      <c r="G83" s="1" t="s">
        <v>54</v>
      </c>
      <c r="H83" s="1" t="s">
        <v>34</v>
      </c>
      <c r="I83" s="1" t="s">
        <v>34</v>
      </c>
      <c r="J83" s="1" t="s">
        <v>53</v>
      </c>
      <c r="K83" s="1" t="s">
        <v>34</v>
      </c>
      <c r="L83" s="1" t="s">
        <v>34</v>
      </c>
      <c r="M83" s="1" t="s">
        <v>53</v>
      </c>
      <c r="N83" s="1" t="s">
        <v>54</v>
      </c>
      <c r="O83" s="1" t="s">
        <v>34</v>
      </c>
      <c r="P83" s="1" t="s">
        <v>34</v>
      </c>
      <c r="Q83" s="1" t="s">
        <v>53</v>
      </c>
      <c r="R83" s="1" t="s">
        <v>54</v>
      </c>
      <c r="S83" s="1" t="s">
        <v>34</v>
      </c>
      <c r="T83" s="1" t="s">
        <v>53</v>
      </c>
      <c r="U83" s="1" t="s">
        <v>54</v>
      </c>
      <c r="V83" s="1" t="s">
        <v>34</v>
      </c>
      <c r="W83" s="1" t="s">
        <v>53</v>
      </c>
      <c r="X83" s="1" t="s">
        <v>54</v>
      </c>
      <c r="Y83" s="1" t="s">
        <v>34</v>
      </c>
      <c r="Z83" s="1" t="s">
        <v>53</v>
      </c>
      <c r="AA83" s="1" t="s">
        <v>54</v>
      </c>
      <c r="AB83" s="1" t="s">
        <v>34</v>
      </c>
      <c r="AC83" s="1" t="s">
        <v>53</v>
      </c>
      <c r="AD83" s="1" t="s">
        <v>54</v>
      </c>
      <c r="AE83" s="165" t="s">
        <v>43</v>
      </c>
      <c r="AF83" s="165" t="s">
        <v>43</v>
      </c>
      <c r="AG83" s="1" t="s">
        <v>53</v>
      </c>
      <c r="AH83" s="165" t="s">
        <v>43</v>
      </c>
      <c r="AI83" s="165" t="s">
        <v>43</v>
      </c>
      <c r="AJ83" s="1" t="s">
        <v>54</v>
      </c>
      <c r="AK83" s="1" t="s">
        <v>34</v>
      </c>
      <c r="AL83" s="1">
        <v>31</v>
      </c>
      <c r="AM83" s="1">
        <v>31</v>
      </c>
      <c r="AN83" s="168">
        <f t="shared" si="21"/>
        <v>0</v>
      </c>
      <c r="AO83" s="168">
        <f t="shared" si="22"/>
        <v>0</v>
      </c>
      <c r="AP83" s="168">
        <f t="shared" si="23"/>
        <v>0</v>
      </c>
      <c r="AQ83" s="168">
        <f t="shared" si="24"/>
        <v>0</v>
      </c>
      <c r="AR83" s="168"/>
      <c r="AS83" s="168">
        <f t="shared" si="25"/>
        <v>0</v>
      </c>
      <c r="AT83" s="168"/>
      <c r="AU83" s="168"/>
      <c r="AV83" s="168"/>
      <c r="AW83" s="168">
        <f t="shared" si="26"/>
        <v>0</v>
      </c>
      <c r="AX83" s="168"/>
      <c r="AY83" s="168"/>
      <c r="AZ83" s="168">
        <f t="shared" si="27"/>
        <v>0</v>
      </c>
      <c r="BA83" s="172" t="s">
        <v>63</v>
      </c>
      <c r="IH83" s="142"/>
      <c r="II83" s="142"/>
      <c r="IJ83" s="142"/>
      <c r="IK83" s="142"/>
      <c r="IL83" s="142"/>
      <c r="IM83" s="142"/>
      <c r="IN83" s="142"/>
    </row>
    <row r="84" s="135" customFormat="1" ht="12.95" customHeight="1" spans="1:248">
      <c r="A84" s="157">
        <f t="shared" si="28"/>
        <v>79</v>
      </c>
      <c r="B84" s="158" t="s">
        <v>44</v>
      </c>
      <c r="C84" s="1">
        <v>7611641</v>
      </c>
      <c r="D84" s="1" t="s">
        <v>151</v>
      </c>
      <c r="E84" s="1" t="s">
        <v>51</v>
      </c>
      <c r="F84" s="1" t="s">
        <v>52</v>
      </c>
      <c r="G84" s="1" t="s">
        <v>54</v>
      </c>
      <c r="H84" s="1" t="s">
        <v>34</v>
      </c>
      <c r="I84" s="1" t="s">
        <v>34</v>
      </c>
      <c r="J84" s="1" t="s">
        <v>53</v>
      </c>
      <c r="K84" s="1" t="s">
        <v>54</v>
      </c>
      <c r="L84" s="1" t="s">
        <v>34</v>
      </c>
      <c r="M84" s="1" t="s">
        <v>34</v>
      </c>
      <c r="N84" s="1" t="s">
        <v>53</v>
      </c>
      <c r="O84" s="1" t="s">
        <v>54</v>
      </c>
      <c r="P84" s="1" t="s">
        <v>34</v>
      </c>
      <c r="Q84" s="1" t="s">
        <v>53</v>
      </c>
      <c r="R84" s="1" t="s">
        <v>54</v>
      </c>
      <c r="S84" s="1" t="s">
        <v>34</v>
      </c>
      <c r="T84" s="1" t="s">
        <v>53</v>
      </c>
      <c r="U84" s="1" t="s">
        <v>54</v>
      </c>
      <c r="V84" s="1" t="s">
        <v>34</v>
      </c>
      <c r="W84" s="1" t="s">
        <v>53</v>
      </c>
      <c r="X84" s="1" t="s">
        <v>54</v>
      </c>
      <c r="Y84" s="1" t="s">
        <v>34</v>
      </c>
      <c r="Z84" s="1" t="s">
        <v>53</v>
      </c>
      <c r="AA84" s="1" t="s">
        <v>34</v>
      </c>
      <c r="AB84" s="1" t="s">
        <v>34</v>
      </c>
      <c r="AC84" s="1" t="s">
        <v>53</v>
      </c>
      <c r="AD84" s="1" t="s">
        <v>54</v>
      </c>
      <c r="AE84" s="1" t="s">
        <v>34</v>
      </c>
      <c r="AF84" s="1" t="s">
        <v>53</v>
      </c>
      <c r="AG84" s="1" t="s">
        <v>54</v>
      </c>
      <c r="AH84" s="1" t="s">
        <v>34</v>
      </c>
      <c r="AI84" s="1" t="s">
        <v>34</v>
      </c>
      <c r="AJ84" s="1" t="s">
        <v>53</v>
      </c>
      <c r="AK84" s="1" t="s">
        <v>54</v>
      </c>
      <c r="AL84" s="1">
        <v>31</v>
      </c>
      <c r="AM84" s="1">
        <v>31</v>
      </c>
      <c r="AN84" s="168">
        <f t="shared" si="21"/>
        <v>0</v>
      </c>
      <c r="AO84" s="168">
        <f t="shared" si="22"/>
        <v>0</v>
      </c>
      <c r="AP84" s="168">
        <f t="shared" si="23"/>
        <v>0</v>
      </c>
      <c r="AQ84" s="168">
        <f t="shared" si="24"/>
        <v>0</v>
      </c>
      <c r="AR84" s="168"/>
      <c r="AS84" s="168">
        <f t="shared" si="25"/>
        <v>0</v>
      </c>
      <c r="AT84" s="168"/>
      <c r="AU84" s="168"/>
      <c r="AV84" s="168"/>
      <c r="AW84" s="168">
        <f t="shared" si="26"/>
        <v>0</v>
      </c>
      <c r="AX84" s="168"/>
      <c r="AY84" s="168"/>
      <c r="AZ84" s="168">
        <f t="shared" si="27"/>
        <v>0</v>
      </c>
      <c r="BA84" s="172"/>
      <c r="IH84" s="142"/>
      <c r="II84" s="142"/>
      <c r="IJ84" s="142"/>
      <c r="IK84" s="142"/>
      <c r="IL84" s="142"/>
      <c r="IM84" s="142"/>
      <c r="IN84" s="142"/>
    </row>
    <row r="85" s="135" customFormat="1" ht="12.95" customHeight="1" spans="1:248">
      <c r="A85" s="157">
        <f t="shared" si="28"/>
        <v>80</v>
      </c>
      <c r="B85" s="158" t="s">
        <v>44</v>
      </c>
      <c r="C85" s="1">
        <v>7612623</v>
      </c>
      <c r="D85" s="1" t="s">
        <v>152</v>
      </c>
      <c r="E85" s="1" t="s">
        <v>59</v>
      </c>
      <c r="F85" s="1" t="s">
        <v>52</v>
      </c>
      <c r="G85" s="1" t="s">
        <v>34</v>
      </c>
      <c r="H85" s="1" t="s">
        <v>53</v>
      </c>
      <c r="I85" s="1" t="s">
        <v>54</v>
      </c>
      <c r="J85" s="1" t="s">
        <v>34</v>
      </c>
      <c r="K85" s="1" t="s">
        <v>34</v>
      </c>
      <c r="L85" s="1" t="s">
        <v>53</v>
      </c>
      <c r="M85" s="1" t="s">
        <v>54</v>
      </c>
      <c r="N85" s="1" t="s">
        <v>34</v>
      </c>
      <c r="O85" s="1" t="s">
        <v>34</v>
      </c>
      <c r="P85" s="1" t="s">
        <v>53</v>
      </c>
      <c r="Q85" s="1" t="s">
        <v>54</v>
      </c>
      <c r="R85" s="1" t="s">
        <v>34</v>
      </c>
      <c r="S85" s="1" t="s">
        <v>34</v>
      </c>
      <c r="T85" s="165" t="s">
        <v>78</v>
      </c>
      <c r="U85" s="165" t="s">
        <v>78</v>
      </c>
      <c r="V85" s="165" t="s">
        <v>78</v>
      </c>
      <c r="W85" s="165" t="s">
        <v>78</v>
      </c>
      <c r="X85" s="165" t="s">
        <v>78</v>
      </c>
      <c r="Y85" s="1" t="s">
        <v>53</v>
      </c>
      <c r="Z85" s="1" t="s">
        <v>54</v>
      </c>
      <c r="AA85" s="1" t="s">
        <v>34</v>
      </c>
      <c r="AB85" s="1" t="s">
        <v>53</v>
      </c>
      <c r="AC85" s="1" t="s">
        <v>54</v>
      </c>
      <c r="AD85" s="165" t="s">
        <v>43</v>
      </c>
      <c r="AE85" s="165" t="s">
        <v>43</v>
      </c>
      <c r="AF85" s="1" t="s">
        <v>53</v>
      </c>
      <c r="AG85" s="1" t="s">
        <v>34</v>
      </c>
      <c r="AH85" s="165" t="s">
        <v>43</v>
      </c>
      <c r="AI85" s="165" t="s">
        <v>43</v>
      </c>
      <c r="AJ85" s="1" t="s">
        <v>53</v>
      </c>
      <c r="AK85" s="1" t="s">
        <v>54</v>
      </c>
      <c r="AL85" s="1">
        <v>31</v>
      </c>
      <c r="AM85" s="1">
        <v>26</v>
      </c>
      <c r="AN85" s="168">
        <f t="shared" si="21"/>
        <v>0</v>
      </c>
      <c r="AO85" s="168">
        <f t="shared" si="22"/>
        <v>0</v>
      </c>
      <c r="AP85" s="168">
        <f t="shared" si="23"/>
        <v>0</v>
      </c>
      <c r="AQ85" s="168">
        <f t="shared" si="24"/>
        <v>0</v>
      </c>
      <c r="AR85" s="168"/>
      <c r="AS85" s="168">
        <f t="shared" si="25"/>
        <v>0</v>
      </c>
      <c r="AT85" s="168"/>
      <c r="AU85" s="168"/>
      <c r="AV85" s="168"/>
      <c r="AW85" s="168">
        <f t="shared" si="26"/>
        <v>5</v>
      </c>
      <c r="AX85" s="168"/>
      <c r="AY85" s="168"/>
      <c r="AZ85" s="168">
        <f t="shared" si="27"/>
        <v>0</v>
      </c>
      <c r="BA85" s="172" t="s">
        <v>96</v>
      </c>
      <c r="IH85" s="142"/>
      <c r="II85" s="142"/>
      <c r="IJ85" s="142"/>
      <c r="IK85" s="142"/>
      <c r="IL85" s="142"/>
      <c r="IM85" s="142"/>
      <c r="IN85" s="142"/>
    </row>
    <row r="86" s="135" customFormat="1" ht="12.95" customHeight="1" spans="1:248">
      <c r="A86" s="157">
        <f t="shared" si="28"/>
        <v>81</v>
      </c>
      <c r="B86" s="158" t="s">
        <v>44</v>
      </c>
      <c r="C86" s="1">
        <v>7612411</v>
      </c>
      <c r="D86" s="1" t="s">
        <v>153</v>
      </c>
      <c r="E86" s="1" t="s">
        <v>59</v>
      </c>
      <c r="F86" s="1" t="s">
        <v>52</v>
      </c>
      <c r="G86" s="1" t="s">
        <v>54</v>
      </c>
      <c r="H86" s="1" t="s">
        <v>34</v>
      </c>
      <c r="I86" s="1" t="s">
        <v>34</v>
      </c>
      <c r="J86" s="1" t="s">
        <v>54</v>
      </c>
      <c r="K86" s="1" t="s">
        <v>54</v>
      </c>
      <c r="L86" s="1" t="s">
        <v>34</v>
      </c>
      <c r="M86" s="1" t="s">
        <v>34</v>
      </c>
      <c r="N86" s="1" t="s">
        <v>53</v>
      </c>
      <c r="O86" s="1" t="s">
        <v>54</v>
      </c>
      <c r="P86" s="1" t="s">
        <v>34</v>
      </c>
      <c r="Q86" s="1" t="s">
        <v>34</v>
      </c>
      <c r="R86" s="1" t="s">
        <v>53</v>
      </c>
      <c r="S86" s="1" t="s">
        <v>54</v>
      </c>
      <c r="T86" s="1" t="s">
        <v>34</v>
      </c>
      <c r="U86" s="1" t="s">
        <v>53</v>
      </c>
      <c r="V86" s="1" t="s">
        <v>54</v>
      </c>
      <c r="W86" s="1" t="s">
        <v>34</v>
      </c>
      <c r="X86" s="1" t="s">
        <v>53</v>
      </c>
      <c r="Y86" s="1" t="s">
        <v>54</v>
      </c>
      <c r="Z86" s="1" t="s">
        <v>34</v>
      </c>
      <c r="AA86" s="1" t="s">
        <v>34</v>
      </c>
      <c r="AB86" s="1" t="s">
        <v>53</v>
      </c>
      <c r="AC86" s="1" t="s">
        <v>54</v>
      </c>
      <c r="AD86" s="1" t="s">
        <v>34</v>
      </c>
      <c r="AE86" s="165" t="s">
        <v>43</v>
      </c>
      <c r="AF86" s="165" t="s">
        <v>43</v>
      </c>
      <c r="AG86" s="1" t="s">
        <v>34</v>
      </c>
      <c r="AH86" s="1" t="s">
        <v>34</v>
      </c>
      <c r="AI86" s="165" t="s">
        <v>43</v>
      </c>
      <c r="AJ86" s="165" t="s">
        <v>43</v>
      </c>
      <c r="AK86" s="1" t="s">
        <v>34</v>
      </c>
      <c r="AL86" s="1">
        <v>31</v>
      </c>
      <c r="AM86" s="1">
        <v>31</v>
      </c>
      <c r="AN86" s="168">
        <f t="shared" si="21"/>
        <v>0</v>
      </c>
      <c r="AO86" s="168">
        <f t="shared" si="22"/>
        <v>0</v>
      </c>
      <c r="AP86" s="168">
        <f t="shared" si="23"/>
        <v>0</v>
      </c>
      <c r="AQ86" s="168">
        <f t="shared" si="24"/>
        <v>0</v>
      </c>
      <c r="AR86" s="168"/>
      <c r="AS86" s="168">
        <f t="shared" si="25"/>
        <v>0</v>
      </c>
      <c r="AT86" s="168"/>
      <c r="AU86" s="168"/>
      <c r="AV86" s="168"/>
      <c r="AW86" s="168">
        <f t="shared" si="26"/>
        <v>0</v>
      </c>
      <c r="AX86" s="168"/>
      <c r="AY86" s="168"/>
      <c r="AZ86" s="168">
        <f t="shared" si="27"/>
        <v>0</v>
      </c>
      <c r="BA86" s="172"/>
      <c r="IH86" s="142"/>
      <c r="II86" s="142"/>
      <c r="IJ86" s="142"/>
      <c r="IK86" s="142"/>
      <c r="IL86" s="142"/>
      <c r="IM86" s="142"/>
      <c r="IN86" s="142"/>
    </row>
    <row r="87" s="135" customFormat="1" ht="12.95" customHeight="1" spans="1:248">
      <c r="A87" s="157">
        <f t="shared" si="28"/>
        <v>82</v>
      </c>
      <c r="B87" s="158" t="s">
        <v>44</v>
      </c>
      <c r="C87" s="159">
        <v>7612708</v>
      </c>
      <c r="D87" s="1" t="s">
        <v>154</v>
      </c>
      <c r="E87" s="1" t="s">
        <v>59</v>
      </c>
      <c r="F87" s="1" t="s">
        <v>52</v>
      </c>
      <c r="G87" s="1" t="s">
        <v>34</v>
      </c>
      <c r="H87" s="1" t="s">
        <v>54</v>
      </c>
      <c r="I87" s="1" t="s">
        <v>34</v>
      </c>
      <c r="J87" s="1" t="s">
        <v>34</v>
      </c>
      <c r="K87" s="1" t="s">
        <v>53</v>
      </c>
      <c r="L87" s="1" t="s">
        <v>54</v>
      </c>
      <c r="M87" s="1" t="s">
        <v>34</v>
      </c>
      <c r="N87" s="165" t="s">
        <v>43</v>
      </c>
      <c r="O87" s="165" t="s">
        <v>43</v>
      </c>
      <c r="P87" s="165" t="s">
        <v>43</v>
      </c>
      <c r="Q87" s="165" t="s">
        <v>43</v>
      </c>
      <c r="R87" s="165" t="s">
        <v>43</v>
      </c>
      <c r="S87" s="165" t="s">
        <v>43</v>
      </c>
      <c r="T87" s="165" t="s">
        <v>43</v>
      </c>
      <c r="U87" s="165" t="s">
        <v>43</v>
      </c>
      <c r="V87" s="1" t="s">
        <v>34</v>
      </c>
      <c r="W87" s="1" t="s">
        <v>53</v>
      </c>
      <c r="X87" s="1" t="s">
        <v>54</v>
      </c>
      <c r="Y87" s="1" t="s">
        <v>34</v>
      </c>
      <c r="Z87" s="1" t="s">
        <v>53</v>
      </c>
      <c r="AA87" s="1" t="s">
        <v>54</v>
      </c>
      <c r="AB87" s="1" t="s">
        <v>34</v>
      </c>
      <c r="AC87" s="1" t="s">
        <v>53</v>
      </c>
      <c r="AD87" s="1" t="s">
        <v>54</v>
      </c>
      <c r="AE87" s="165" t="s">
        <v>43</v>
      </c>
      <c r="AF87" s="165" t="s">
        <v>43</v>
      </c>
      <c r="AG87" s="1" t="s">
        <v>53</v>
      </c>
      <c r="AH87" s="1" t="s">
        <v>54</v>
      </c>
      <c r="AI87" s="1" t="s">
        <v>34</v>
      </c>
      <c r="AJ87" s="1" t="s">
        <v>53</v>
      </c>
      <c r="AK87" s="1" t="s">
        <v>54</v>
      </c>
      <c r="AL87" s="1">
        <v>31</v>
      </c>
      <c r="AM87" s="1">
        <v>31</v>
      </c>
      <c r="AN87" s="168">
        <f t="shared" si="21"/>
        <v>0</v>
      </c>
      <c r="AO87" s="168">
        <f t="shared" si="22"/>
        <v>0</v>
      </c>
      <c r="AP87" s="168">
        <f t="shared" si="23"/>
        <v>0</v>
      </c>
      <c r="AQ87" s="168">
        <f t="shared" si="24"/>
        <v>0</v>
      </c>
      <c r="AR87" s="168"/>
      <c r="AS87" s="168">
        <f t="shared" si="25"/>
        <v>0</v>
      </c>
      <c r="AT87" s="168"/>
      <c r="AU87" s="168"/>
      <c r="AV87" s="168"/>
      <c r="AW87" s="168">
        <f t="shared" si="26"/>
        <v>0</v>
      </c>
      <c r="AX87" s="168"/>
      <c r="AY87" s="168"/>
      <c r="AZ87" s="168">
        <f t="shared" si="27"/>
        <v>0</v>
      </c>
      <c r="BA87" s="172" t="s">
        <v>96</v>
      </c>
      <c r="IH87" s="142"/>
      <c r="II87" s="142"/>
      <c r="IJ87" s="142"/>
      <c r="IK87" s="142"/>
      <c r="IL87" s="142"/>
      <c r="IM87" s="142"/>
      <c r="IN87" s="142"/>
    </row>
    <row r="88" s="135" customFormat="1" ht="12.95" customHeight="1" spans="1:248">
      <c r="A88" s="157">
        <f t="shared" si="28"/>
        <v>83</v>
      </c>
      <c r="B88" s="158" t="s">
        <v>44</v>
      </c>
      <c r="C88" s="159">
        <v>7612366</v>
      </c>
      <c r="D88" s="1" t="s">
        <v>155</v>
      </c>
      <c r="E88" s="1" t="s">
        <v>51</v>
      </c>
      <c r="F88" s="1" t="s">
        <v>52</v>
      </c>
      <c r="G88" s="165" t="s">
        <v>123</v>
      </c>
      <c r="H88" s="165" t="s">
        <v>123</v>
      </c>
      <c r="I88" s="165" t="s">
        <v>123</v>
      </c>
      <c r="J88" s="1" t="s">
        <v>34</v>
      </c>
      <c r="K88" s="1" t="s">
        <v>34</v>
      </c>
      <c r="L88" s="1" t="s">
        <v>34</v>
      </c>
      <c r="M88" s="1" t="s">
        <v>34</v>
      </c>
      <c r="N88" s="165" t="s">
        <v>43</v>
      </c>
      <c r="O88" s="165" t="s">
        <v>43</v>
      </c>
      <c r="P88" s="165" t="s">
        <v>43</v>
      </c>
      <c r="Q88" s="165" t="s">
        <v>43</v>
      </c>
      <c r="R88" s="165" t="s">
        <v>43</v>
      </c>
      <c r="S88" s="165" t="s">
        <v>43</v>
      </c>
      <c r="T88" s="165" t="s">
        <v>43</v>
      </c>
      <c r="U88" s="165" t="s">
        <v>43</v>
      </c>
      <c r="V88" s="165" t="s">
        <v>43</v>
      </c>
      <c r="W88" s="165" t="s">
        <v>43</v>
      </c>
      <c r="X88" s="165" t="s">
        <v>43</v>
      </c>
      <c r="Y88" s="165" t="s">
        <v>43</v>
      </c>
      <c r="Z88" s="165" t="s">
        <v>43</v>
      </c>
      <c r="AA88" s="165" t="s">
        <v>43</v>
      </c>
      <c r="AB88" s="165" t="s">
        <v>43</v>
      </c>
      <c r="AC88" s="165" t="s">
        <v>43</v>
      </c>
      <c r="AD88" s="165" t="s">
        <v>43</v>
      </c>
      <c r="AE88" s="165" t="s">
        <v>43</v>
      </c>
      <c r="AF88" s="165" t="s">
        <v>43</v>
      </c>
      <c r="AG88" s="165" t="s">
        <v>43</v>
      </c>
      <c r="AH88" s="165" t="s">
        <v>43</v>
      </c>
      <c r="AI88" s="165" t="s">
        <v>43</v>
      </c>
      <c r="AJ88" s="165" t="s">
        <v>43</v>
      </c>
      <c r="AK88" s="165" t="s">
        <v>43</v>
      </c>
      <c r="AL88" s="1">
        <v>24</v>
      </c>
      <c r="AM88" s="1">
        <v>24</v>
      </c>
      <c r="AN88" s="168">
        <f t="shared" si="21"/>
        <v>0</v>
      </c>
      <c r="AO88" s="168">
        <f t="shared" si="22"/>
        <v>0</v>
      </c>
      <c r="AP88" s="168">
        <f t="shared" si="23"/>
        <v>0</v>
      </c>
      <c r="AQ88" s="168">
        <f t="shared" si="24"/>
        <v>0</v>
      </c>
      <c r="AR88" s="168"/>
      <c r="AS88" s="168">
        <f t="shared" si="25"/>
        <v>0</v>
      </c>
      <c r="AT88" s="168"/>
      <c r="AU88" s="168"/>
      <c r="AV88" s="168"/>
      <c r="AW88" s="168">
        <f t="shared" si="26"/>
        <v>0</v>
      </c>
      <c r="AX88" s="168"/>
      <c r="AY88" s="168"/>
      <c r="AZ88" s="168">
        <f t="shared" si="27"/>
        <v>0</v>
      </c>
      <c r="BA88" s="172" t="s">
        <v>142</v>
      </c>
      <c r="IH88" s="142"/>
      <c r="II88" s="142"/>
      <c r="IJ88" s="142"/>
      <c r="IK88" s="142"/>
      <c r="IL88" s="142"/>
      <c r="IM88" s="142"/>
      <c r="IN88" s="142"/>
    </row>
    <row r="89" s="135" customFormat="1" ht="12.95" customHeight="1" spans="1:248">
      <c r="A89" s="157">
        <f t="shared" si="28"/>
        <v>84</v>
      </c>
      <c r="B89" s="158" t="s">
        <v>44</v>
      </c>
      <c r="C89" s="159">
        <v>7610571</v>
      </c>
      <c r="D89" s="1" t="s">
        <v>156</v>
      </c>
      <c r="E89" s="1" t="s">
        <v>51</v>
      </c>
      <c r="F89" s="1" t="s">
        <v>52</v>
      </c>
      <c r="G89" s="1" t="s">
        <v>34</v>
      </c>
      <c r="H89" s="1" t="s">
        <v>53</v>
      </c>
      <c r="I89" s="1" t="s">
        <v>54</v>
      </c>
      <c r="J89" s="1" t="s">
        <v>34</v>
      </c>
      <c r="K89" s="1" t="s">
        <v>53</v>
      </c>
      <c r="L89" s="1" t="s">
        <v>54</v>
      </c>
      <c r="M89" s="1" t="s">
        <v>34</v>
      </c>
      <c r="N89" s="1" t="s">
        <v>53</v>
      </c>
      <c r="O89" s="1" t="s">
        <v>54</v>
      </c>
      <c r="P89" s="1" t="s">
        <v>34</v>
      </c>
      <c r="Q89" s="1" t="s">
        <v>53</v>
      </c>
      <c r="R89" s="1" t="s">
        <v>56</v>
      </c>
      <c r="S89" s="1" t="s">
        <v>34</v>
      </c>
      <c r="T89" s="1" t="s">
        <v>56</v>
      </c>
      <c r="U89" s="1" t="s">
        <v>56</v>
      </c>
      <c r="V89" s="1" t="s">
        <v>56</v>
      </c>
      <c r="W89" s="1" t="s">
        <v>53</v>
      </c>
      <c r="X89" s="1" t="s">
        <v>54</v>
      </c>
      <c r="Y89" s="1" t="s">
        <v>34</v>
      </c>
      <c r="Z89" s="1" t="s">
        <v>53</v>
      </c>
      <c r="AA89" s="1" t="s">
        <v>54</v>
      </c>
      <c r="AB89" s="1" t="s">
        <v>34</v>
      </c>
      <c r="AC89" s="1" t="s">
        <v>34</v>
      </c>
      <c r="AD89" s="165" t="s">
        <v>43</v>
      </c>
      <c r="AE89" s="165" t="s">
        <v>43</v>
      </c>
      <c r="AF89" s="165" t="s">
        <v>43</v>
      </c>
      <c r="AG89" s="165" t="s">
        <v>43</v>
      </c>
      <c r="AH89" s="165" t="s">
        <v>43</v>
      </c>
      <c r="AI89" s="165" t="s">
        <v>43</v>
      </c>
      <c r="AJ89" s="165" t="s">
        <v>43</v>
      </c>
      <c r="AK89" s="1" t="s">
        <v>34</v>
      </c>
      <c r="AL89" s="1">
        <v>31</v>
      </c>
      <c r="AM89" s="1">
        <v>27</v>
      </c>
      <c r="AN89" s="168">
        <f t="shared" si="21"/>
        <v>0</v>
      </c>
      <c r="AO89" s="168">
        <f t="shared" si="22"/>
        <v>0</v>
      </c>
      <c r="AP89" s="168">
        <f t="shared" si="23"/>
        <v>0</v>
      </c>
      <c r="AQ89" s="168">
        <f t="shared" si="24"/>
        <v>4</v>
      </c>
      <c r="AR89" s="168"/>
      <c r="AS89" s="168">
        <f t="shared" si="25"/>
        <v>0</v>
      </c>
      <c r="AT89" s="168"/>
      <c r="AU89" s="168"/>
      <c r="AV89" s="168"/>
      <c r="AW89" s="168">
        <f t="shared" si="26"/>
        <v>0</v>
      </c>
      <c r="AX89" s="168"/>
      <c r="AY89" s="168"/>
      <c r="AZ89" s="168">
        <f t="shared" si="27"/>
        <v>4</v>
      </c>
      <c r="BA89" s="172" t="s">
        <v>81</v>
      </c>
      <c r="IH89" s="142"/>
      <c r="II89" s="142"/>
      <c r="IJ89" s="142"/>
      <c r="IK89" s="142"/>
      <c r="IL89" s="142"/>
      <c r="IM89" s="142"/>
      <c r="IN89" s="142"/>
    </row>
    <row r="90" s="135" customFormat="1" ht="12.95" customHeight="1" spans="1:248">
      <c r="A90" s="157">
        <f t="shared" si="28"/>
        <v>85</v>
      </c>
      <c r="B90" s="158" t="s">
        <v>44</v>
      </c>
      <c r="C90" s="1">
        <v>7611560</v>
      </c>
      <c r="D90" s="1" t="s">
        <v>157</v>
      </c>
      <c r="E90" s="1" t="s">
        <v>51</v>
      </c>
      <c r="F90" s="1" t="s">
        <v>52</v>
      </c>
      <c r="G90" s="1" t="s">
        <v>148</v>
      </c>
      <c r="H90" s="1" t="s">
        <v>148</v>
      </c>
      <c r="I90" s="1" t="s">
        <v>148</v>
      </c>
      <c r="J90" s="1" t="s">
        <v>148</v>
      </c>
      <c r="K90" s="1" t="s">
        <v>148</v>
      </c>
      <c r="L90" s="1" t="s">
        <v>148</v>
      </c>
      <c r="M90" s="1" t="s">
        <v>148</v>
      </c>
      <c r="N90" s="1" t="s">
        <v>148</v>
      </c>
      <c r="O90" s="1" t="s">
        <v>148</v>
      </c>
      <c r="P90" s="1" t="s">
        <v>148</v>
      </c>
      <c r="Q90" s="1" t="s">
        <v>148</v>
      </c>
      <c r="R90" s="1" t="s">
        <v>148</v>
      </c>
      <c r="S90" s="1" t="s">
        <v>148</v>
      </c>
      <c r="T90" s="1" t="s">
        <v>53</v>
      </c>
      <c r="U90" s="1" t="s">
        <v>54</v>
      </c>
      <c r="V90" s="1" t="s">
        <v>34</v>
      </c>
      <c r="W90" s="1" t="s">
        <v>53</v>
      </c>
      <c r="X90" s="1" t="s">
        <v>54</v>
      </c>
      <c r="Y90" s="1" t="s">
        <v>34</v>
      </c>
      <c r="Z90" s="1" t="s">
        <v>53</v>
      </c>
      <c r="AA90" s="1" t="s">
        <v>54</v>
      </c>
      <c r="AB90" s="1" t="s">
        <v>34</v>
      </c>
      <c r="AC90" s="1" t="s">
        <v>54</v>
      </c>
      <c r="AD90" s="1" t="s">
        <v>53</v>
      </c>
      <c r="AE90" s="1" t="s">
        <v>53</v>
      </c>
      <c r="AF90" s="1" t="s">
        <v>54</v>
      </c>
      <c r="AG90" s="135" t="s">
        <v>34</v>
      </c>
      <c r="AH90" s="135" t="s">
        <v>34</v>
      </c>
      <c r="AI90" s="1" t="s">
        <v>34</v>
      </c>
      <c r="AJ90" s="1" t="s">
        <v>54</v>
      </c>
      <c r="AK90" s="1" t="s">
        <v>34</v>
      </c>
      <c r="AL90" s="1">
        <v>31</v>
      </c>
      <c r="AM90" s="1">
        <v>18</v>
      </c>
      <c r="AN90" s="168">
        <f t="shared" si="21"/>
        <v>0</v>
      </c>
      <c r="AO90" s="168">
        <f t="shared" si="22"/>
        <v>0</v>
      </c>
      <c r="AP90" s="168">
        <f t="shared" si="23"/>
        <v>13</v>
      </c>
      <c r="AQ90" s="168">
        <f t="shared" si="24"/>
        <v>0</v>
      </c>
      <c r="AR90" s="168"/>
      <c r="AS90" s="168">
        <f t="shared" si="25"/>
        <v>0</v>
      </c>
      <c r="AT90" s="168"/>
      <c r="AU90" s="168"/>
      <c r="AV90" s="168"/>
      <c r="AW90" s="168">
        <f t="shared" si="26"/>
        <v>0</v>
      </c>
      <c r="AX90" s="168"/>
      <c r="AY90" s="168"/>
      <c r="AZ90" s="168">
        <f t="shared" si="27"/>
        <v>13</v>
      </c>
      <c r="BA90" s="172"/>
      <c r="IH90" s="142"/>
      <c r="II90" s="142"/>
      <c r="IJ90" s="142"/>
      <c r="IK90" s="142"/>
      <c r="IL90" s="142"/>
      <c r="IM90" s="142"/>
      <c r="IN90" s="142"/>
    </row>
    <row r="91" s="135" customFormat="1" ht="12.95" customHeight="1" spans="1:248">
      <c r="A91" s="157">
        <f t="shared" si="28"/>
        <v>86</v>
      </c>
      <c r="B91" s="158" t="s">
        <v>44</v>
      </c>
      <c r="C91" s="159">
        <v>7610773</v>
      </c>
      <c r="D91" s="1" t="s">
        <v>158</v>
      </c>
      <c r="E91" s="1" t="s">
        <v>51</v>
      </c>
      <c r="F91" s="1" t="s">
        <v>52</v>
      </c>
      <c r="G91" s="1" t="s">
        <v>34</v>
      </c>
      <c r="H91" s="1" t="s">
        <v>53</v>
      </c>
      <c r="I91" s="1" t="s">
        <v>54</v>
      </c>
      <c r="J91" s="1" t="s">
        <v>34</v>
      </c>
      <c r="K91" s="1" t="s">
        <v>34</v>
      </c>
      <c r="L91" s="1" t="s">
        <v>53</v>
      </c>
      <c r="M91" s="1" t="s">
        <v>54</v>
      </c>
      <c r="N91" s="1" t="s">
        <v>34</v>
      </c>
      <c r="O91" s="1" t="s">
        <v>53</v>
      </c>
      <c r="P91" s="1" t="s">
        <v>54</v>
      </c>
      <c r="Q91" s="1" t="s">
        <v>34</v>
      </c>
      <c r="R91" s="1" t="s">
        <v>53</v>
      </c>
      <c r="S91" s="1" t="s">
        <v>54</v>
      </c>
      <c r="T91" s="1" t="s">
        <v>34</v>
      </c>
      <c r="U91" s="1" t="s">
        <v>53</v>
      </c>
      <c r="V91" s="1" t="s">
        <v>54</v>
      </c>
      <c r="W91" s="1" t="s">
        <v>34</v>
      </c>
      <c r="X91" s="1" t="s">
        <v>53</v>
      </c>
      <c r="Y91" s="1" t="s">
        <v>54</v>
      </c>
      <c r="Z91" s="1" t="s">
        <v>34</v>
      </c>
      <c r="AA91" s="1" t="s">
        <v>75</v>
      </c>
      <c r="AB91" s="1" t="s">
        <v>75</v>
      </c>
      <c r="AC91" s="1" t="s">
        <v>75</v>
      </c>
      <c r="AD91" s="1" t="s">
        <v>34</v>
      </c>
      <c r="AE91" s="1" t="s">
        <v>34</v>
      </c>
      <c r="AF91" s="1" t="s">
        <v>53</v>
      </c>
      <c r="AG91" s="1" t="s">
        <v>54</v>
      </c>
      <c r="AH91" s="1" t="s">
        <v>34</v>
      </c>
      <c r="AI91" s="1" t="s">
        <v>53</v>
      </c>
      <c r="AJ91" s="1" t="s">
        <v>54</v>
      </c>
      <c r="AK91" s="1" t="s">
        <v>34</v>
      </c>
      <c r="AL91" s="1">
        <v>31</v>
      </c>
      <c r="AM91" s="1">
        <v>28</v>
      </c>
      <c r="AN91" s="168">
        <f t="shared" si="21"/>
        <v>3</v>
      </c>
      <c r="AO91" s="168">
        <f t="shared" si="22"/>
        <v>0</v>
      </c>
      <c r="AP91" s="168">
        <f t="shared" si="23"/>
        <v>0</v>
      </c>
      <c r="AQ91" s="168">
        <f t="shared" si="24"/>
        <v>0</v>
      </c>
      <c r="AR91" s="168"/>
      <c r="AS91" s="168">
        <f t="shared" si="25"/>
        <v>0</v>
      </c>
      <c r="AT91" s="168"/>
      <c r="AU91" s="168"/>
      <c r="AV91" s="168"/>
      <c r="AW91" s="168">
        <f t="shared" si="26"/>
        <v>0</v>
      </c>
      <c r="AX91" s="168"/>
      <c r="AY91" s="168"/>
      <c r="AZ91" s="168">
        <f t="shared" si="27"/>
        <v>3</v>
      </c>
      <c r="BA91" s="172"/>
      <c r="IH91" s="142"/>
      <c r="II91" s="142"/>
      <c r="IJ91" s="142"/>
      <c r="IK91" s="142"/>
      <c r="IL91" s="142"/>
      <c r="IM91" s="142"/>
      <c r="IN91" s="142"/>
    </row>
    <row r="92" s="135" customFormat="1" ht="12.95" customHeight="1" spans="1:248">
      <c r="A92" s="157">
        <f t="shared" ref="A92:A101" si="29">ROW()-5</f>
        <v>87</v>
      </c>
      <c r="B92" s="158" t="s">
        <v>44</v>
      </c>
      <c r="C92" s="1">
        <v>7612389</v>
      </c>
      <c r="D92" s="1" t="s">
        <v>159</v>
      </c>
      <c r="E92" s="1" t="s">
        <v>59</v>
      </c>
      <c r="F92" s="1" t="s">
        <v>52</v>
      </c>
      <c r="G92" s="1" t="s">
        <v>34</v>
      </c>
      <c r="H92" s="1" t="s">
        <v>53</v>
      </c>
      <c r="I92" s="1" t="s">
        <v>54</v>
      </c>
      <c r="J92" s="1" t="s">
        <v>34</v>
      </c>
      <c r="K92" s="1" t="s">
        <v>34</v>
      </c>
      <c r="L92" s="1" t="s">
        <v>53</v>
      </c>
      <c r="M92" s="1" t="s">
        <v>54</v>
      </c>
      <c r="N92" s="1" t="s">
        <v>34</v>
      </c>
      <c r="O92" s="1" t="s">
        <v>34</v>
      </c>
      <c r="P92" s="1" t="s">
        <v>34</v>
      </c>
      <c r="Q92" s="1" t="s">
        <v>53</v>
      </c>
      <c r="R92" s="1" t="s">
        <v>54</v>
      </c>
      <c r="S92" s="1" t="s">
        <v>34</v>
      </c>
      <c r="T92" s="1" t="s">
        <v>53</v>
      </c>
      <c r="U92" s="1" t="s">
        <v>54</v>
      </c>
      <c r="V92" s="1" t="s">
        <v>34</v>
      </c>
      <c r="W92" s="1" t="s">
        <v>53</v>
      </c>
      <c r="X92" s="1" t="s">
        <v>54</v>
      </c>
      <c r="Y92" s="1" t="s">
        <v>34</v>
      </c>
      <c r="Z92" s="1" t="s">
        <v>53</v>
      </c>
      <c r="AA92" s="1" t="s">
        <v>54</v>
      </c>
      <c r="AB92" s="1" t="s">
        <v>34</v>
      </c>
      <c r="AC92" s="165" t="s">
        <v>43</v>
      </c>
      <c r="AD92" s="165" t="s">
        <v>43</v>
      </c>
      <c r="AE92" s="1" t="s">
        <v>54</v>
      </c>
      <c r="AF92" s="1" t="s">
        <v>34</v>
      </c>
      <c r="AG92" s="1" t="s">
        <v>53</v>
      </c>
      <c r="AH92" s="1" t="s">
        <v>54</v>
      </c>
      <c r="AI92" s="1" t="s">
        <v>34</v>
      </c>
      <c r="AJ92" s="1" t="s">
        <v>43</v>
      </c>
      <c r="AK92" s="1" t="s">
        <v>43</v>
      </c>
      <c r="AL92" s="1">
        <v>31</v>
      </c>
      <c r="AM92" s="1">
        <v>31</v>
      </c>
      <c r="AN92" s="168">
        <f t="shared" si="21"/>
        <v>0</v>
      </c>
      <c r="AO92" s="168">
        <f t="shared" si="22"/>
        <v>0</v>
      </c>
      <c r="AP92" s="168">
        <f t="shared" si="23"/>
        <v>0</v>
      </c>
      <c r="AQ92" s="168">
        <f t="shared" si="24"/>
        <v>0</v>
      </c>
      <c r="AR92" s="168"/>
      <c r="AS92" s="168">
        <f t="shared" si="25"/>
        <v>0</v>
      </c>
      <c r="AT92" s="168"/>
      <c r="AU92" s="168"/>
      <c r="AV92" s="168"/>
      <c r="AW92" s="168">
        <f t="shared" si="26"/>
        <v>0</v>
      </c>
      <c r="AX92" s="168"/>
      <c r="AY92" s="168"/>
      <c r="AZ92" s="168">
        <f t="shared" si="27"/>
        <v>0</v>
      </c>
      <c r="BA92" s="172" t="s">
        <v>63</v>
      </c>
      <c r="IH92" s="142"/>
      <c r="II92" s="142"/>
      <c r="IJ92" s="142"/>
      <c r="IK92" s="142"/>
      <c r="IL92" s="142"/>
      <c r="IM92" s="142"/>
      <c r="IN92" s="142"/>
    </row>
    <row r="93" s="135" customFormat="1" ht="12.95" customHeight="1" spans="1:248">
      <c r="A93" s="157">
        <f t="shared" si="29"/>
        <v>88</v>
      </c>
      <c r="B93" s="158" t="s">
        <v>44</v>
      </c>
      <c r="C93" s="1">
        <v>7642816</v>
      </c>
      <c r="D93" s="1" t="s">
        <v>160</v>
      </c>
      <c r="E93" s="1" t="s">
        <v>51</v>
      </c>
      <c r="F93" s="1" t="s">
        <v>31</v>
      </c>
      <c r="G93" s="176" t="s">
        <v>123</v>
      </c>
      <c r="H93" s="165" t="s">
        <v>123</v>
      </c>
      <c r="I93" s="165" t="s">
        <v>123</v>
      </c>
      <c r="J93" s="1" t="s">
        <v>34</v>
      </c>
      <c r="K93" s="1" t="s">
        <v>34</v>
      </c>
      <c r="L93" s="1" t="s">
        <v>34</v>
      </c>
      <c r="M93" s="1" t="s">
        <v>34</v>
      </c>
      <c r="N93" s="1" t="s">
        <v>33</v>
      </c>
      <c r="O93" s="1" t="s">
        <v>33</v>
      </c>
      <c r="P93" s="1" t="s">
        <v>33</v>
      </c>
      <c r="Q93" s="1" t="s">
        <v>33</v>
      </c>
      <c r="R93" s="1" t="s">
        <v>33</v>
      </c>
      <c r="S93" s="1" t="s">
        <v>34</v>
      </c>
      <c r="T93" s="1" t="s">
        <v>33</v>
      </c>
      <c r="U93" s="1" t="s">
        <v>33</v>
      </c>
      <c r="V93" s="1" t="s">
        <v>33</v>
      </c>
      <c r="W93" s="1" t="s">
        <v>33</v>
      </c>
      <c r="X93" s="1" t="s">
        <v>33</v>
      </c>
      <c r="Y93" s="1" t="s">
        <v>34</v>
      </c>
      <c r="Z93" s="1" t="s">
        <v>34</v>
      </c>
      <c r="AA93" s="1" t="s">
        <v>33</v>
      </c>
      <c r="AB93" s="1" t="s">
        <v>33</v>
      </c>
      <c r="AC93" s="1" t="s">
        <v>33</v>
      </c>
      <c r="AD93" s="1" t="s">
        <v>33</v>
      </c>
      <c r="AE93" s="1" t="s">
        <v>33</v>
      </c>
      <c r="AF93" s="1" t="s">
        <v>34</v>
      </c>
      <c r="AG93" s="1" t="s">
        <v>34</v>
      </c>
      <c r="AH93" s="1" t="s">
        <v>33</v>
      </c>
      <c r="AI93" s="1" t="s">
        <v>33</v>
      </c>
      <c r="AJ93" s="1" t="s">
        <v>33</v>
      </c>
      <c r="AK93" s="1" t="s">
        <v>33</v>
      </c>
      <c r="AL93" s="1">
        <v>30</v>
      </c>
      <c r="AM93" s="1">
        <v>19</v>
      </c>
      <c r="AN93" s="168">
        <f t="shared" si="21"/>
        <v>0</v>
      </c>
      <c r="AO93" s="168">
        <f t="shared" si="22"/>
        <v>0</v>
      </c>
      <c r="AP93" s="168">
        <f t="shared" si="23"/>
        <v>0</v>
      </c>
      <c r="AQ93" s="168">
        <f t="shared" si="24"/>
        <v>0</v>
      </c>
      <c r="AR93" s="168"/>
      <c r="AS93" s="168">
        <f t="shared" si="25"/>
        <v>0</v>
      </c>
      <c r="AT93" s="168"/>
      <c r="AU93" s="168"/>
      <c r="AV93" s="168"/>
      <c r="AW93" s="168">
        <f t="shared" si="26"/>
        <v>0</v>
      </c>
      <c r="AX93" s="168"/>
      <c r="AY93" s="168"/>
      <c r="AZ93" s="168">
        <f t="shared" si="27"/>
        <v>0</v>
      </c>
      <c r="BA93" s="172"/>
      <c r="IH93" s="142"/>
      <c r="II93" s="142"/>
      <c r="IJ93" s="142"/>
      <c r="IK93" s="142"/>
      <c r="IL93" s="142"/>
      <c r="IM93" s="142"/>
      <c r="IN93" s="142"/>
    </row>
    <row r="94" s="135" customFormat="1" ht="12.95" customHeight="1" spans="1:248">
      <c r="A94" s="157">
        <f t="shared" si="29"/>
        <v>89</v>
      </c>
      <c r="B94" s="158" t="s">
        <v>46</v>
      </c>
      <c r="C94" s="1">
        <v>7612340</v>
      </c>
      <c r="D94" s="1" t="s">
        <v>161</v>
      </c>
      <c r="E94" s="1" t="s">
        <v>59</v>
      </c>
      <c r="F94" s="1" t="s">
        <v>52</v>
      </c>
      <c r="G94" s="1" t="s">
        <v>34</v>
      </c>
      <c r="H94" s="1" t="s">
        <v>53</v>
      </c>
      <c r="I94" s="1" t="s">
        <v>34</v>
      </c>
      <c r="J94" s="1" t="s">
        <v>55</v>
      </c>
      <c r="K94" s="1" t="s">
        <v>55</v>
      </c>
      <c r="L94" s="1" t="s">
        <v>34</v>
      </c>
      <c r="M94" s="1" t="s">
        <v>55</v>
      </c>
      <c r="N94" s="1" t="s">
        <v>55</v>
      </c>
      <c r="O94" s="1" t="s">
        <v>34</v>
      </c>
      <c r="P94" s="1" t="s">
        <v>55</v>
      </c>
      <c r="Q94" s="1" t="s">
        <v>55</v>
      </c>
      <c r="R94" s="1" t="s">
        <v>34</v>
      </c>
      <c r="S94" s="1" t="s">
        <v>55</v>
      </c>
      <c r="T94" s="1" t="s">
        <v>55</v>
      </c>
      <c r="U94" s="1" t="s">
        <v>34</v>
      </c>
      <c r="V94" s="1" t="s">
        <v>55</v>
      </c>
      <c r="W94" s="1" t="s">
        <v>55</v>
      </c>
      <c r="X94" s="1" t="s">
        <v>34</v>
      </c>
      <c r="Y94" s="1" t="s">
        <v>55</v>
      </c>
      <c r="Z94" s="1" t="s">
        <v>55</v>
      </c>
      <c r="AA94" s="1" t="s">
        <v>34</v>
      </c>
      <c r="AB94" s="1" t="s">
        <v>55</v>
      </c>
      <c r="AC94" s="1" t="s">
        <v>55</v>
      </c>
      <c r="AD94" s="1" t="s">
        <v>34</v>
      </c>
      <c r="AE94" s="165" t="s">
        <v>43</v>
      </c>
      <c r="AF94" s="165" t="s">
        <v>43</v>
      </c>
      <c r="AG94" s="1" t="s">
        <v>34</v>
      </c>
      <c r="AH94" s="1" t="s">
        <v>34</v>
      </c>
      <c r="AI94" s="165" t="s">
        <v>43</v>
      </c>
      <c r="AJ94" s="165" t="s">
        <v>43</v>
      </c>
      <c r="AK94" s="1" t="s">
        <v>75</v>
      </c>
      <c r="AL94" s="1">
        <v>31</v>
      </c>
      <c r="AM94" s="1">
        <v>30</v>
      </c>
      <c r="AN94" s="168">
        <f t="shared" si="21"/>
        <v>1</v>
      </c>
      <c r="AO94" s="168">
        <f t="shared" si="22"/>
        <v>0</v>
      </c>
      <c r="AP94" s="168">
        <f t="shared" si="23"/>
        <v>0</v>
      </c>
      <c r="AQ94" s="168">
        <f t="shared" si="24"/>
        <v>0</v>
      </c>
      <c r="AR94" s="168"/>
      <c r="AS94" s="168">
        <f t="shared" si="25"/>
        <v>0</v>
      </c>
      <c r="AT94" s="168"/>
      <c r="AU94" s="168"/>
      <c r="AV94" s="168"/>
      <c r="AW94" s="168">
        <f t="shared" si="26"/>
        <v>0</v>
      </c>
      <c r="AX94" s="168"/>
      <c r="AY94" s="168"/>
      <c r="AZ94" s="168">
        <f t="shared" si="27"/>
        <v>1</v>
      </c>
      <c r="BA94" s="172"/>
      <c r="IH94" s="142"/>
      <c r="II94" s="142"/>
      <c r="IJ94" s="142"/>
      <c r="IK94" s="142"/>
      <c r="IL94" s="142"/>
      <c r="IM94" s="142"/>
      <c r="IN94" s="142"/>
    </row>
    <row r="95" s="135" customFormat="1" ht="12.95" customHeight="1" spans="1:248">
      <c r="A95" s="157">
        <f t="shared" si="29"/>
        <v>90</v>
      </c>
      <c r="B95" s="158" t="s">
        <v>46</v>
      </c>
      <c r="C95" s="1" t="s">
        <v>162</v>
      </c>
      <c r="D95" s="1" t="s">
        <v>163</v>
      </c>
      <c r="E95" s="1" t="s">
        <v>59</v>
      </c>
      <c r="F95" s="1" t="s">
        <v>52</v>
      </c>
      <c r="G95" s="1" t="s">
        <v>34</v>
      </c>
      <c r="H95" s="1" t="s">
        <v>53</v>
      </c>
      <c r="I95" s="1" t="s">
        <v>54</v>
      </c>
      <c r="J95" s="1" t="s">
        <v>34</v>
      </c>
      <c r="K95" s="1" t="s">
        <v>34</v>
      </c>
      <c r="L95" s="1" t="s">
        <v>53</v>
      </c>
      <c r="M95" s="1" t="s">
        <v>54</v>
      </c>
      <c r="N95" s="1" t="s">
        <v>34</v>
      </c>
      <c r="O95" s="1" t="s">
        <v>34</v>
      </c>
      <c r="P95" s="1" t="s">
        <v>53</v>
      </c>
      <c r="Q95" s="1" t="s">
        <v>54</v>
      </c>
      <c r="R95" s="1" t="s">
        <v>34</v>
      </c>
      <c r="S95" s="1" t="s">
        <v>34</v>
      </c>
      <c r="T95" s="1" t="s">
        <v>53</v>
      </c>
      <c r="U95" s="1" t="s">
        <v>54</v>
      </c>
      <c r="V95" s="1" t="s">
        <v>34</v>
      </c>
      <c r="W95" s="1" t="s">
        <v>34</v>
      </c>
      <c r="X95" s="1" t="s">
        <v>53</v>
      </c>
      <c r="Y95" s="1" t="s">
        <v>54</v>
      </c>
      <c r="Z95" s="1" t="s">
        <v>34</v>
      </c>
      <c r="AA95" s="1" t="s">
        <v>34</v>
      </c>
      <c r="AB95" s="1" t="s">
        <v>53</v>
      </c>
      <c r="AC95" s="1" t="s">
        <v>54</v>
      </c>
      <c r="AD95" s="1" t="s">
        <v>34</v>
      </c>
      <c r="AE95" s="1" t="s">
        <v>34</v>
      </c>
      <c r="AF95" s="1" t="s">
        <v>53</v>
      </c>
      <c r="AG95" s="1" t="s">
        <v>54</v>
      </c>
      <c r="AH95" s="1" t="s">
        <v>34</v>
      </c>
      <c r="AI95" s="1" t="s">
        <v>34</v>
      </c>
      <c r="AJ95" s="1" t="s">
        <v>53</v>
      </c>
      <c r="AK95" s="1" t="s">
        <v>54</v>
      </c>
      <c r="AL95" s="1">
        <v>31</v>
      </c>
      <c r="AM95" s="1">
        <v>31</v>
      </c>
      <c r="AN95" s="168">
        <f t="shared" si="21"/>
        <v>0</v>
      </c>
      <c r="AO95" s="168">
        <f t="shared" si="22"/>
        <v>0</v>
      </c>
      <c r="AP95" s="168">
        <f t="shared" si="23"/>
        <v>0</v>
      </c>
      <c r="AQ95" s="168">
        <f t="shared" si="24"/>
        <v>0</v>
      </c>
      <c r="AR95" s="168"/>
      <c r="AS95" s="168">
        <f t="shared" si="25"/>
        <v>0</v>
      </c>
      <c r="AT95" s="168"/>
      <c r="AU95" s="168"/>
      <c r="AV95" s="168"/>
      <c r="AW95" s="168">
        <f t="shared" si="26"/>
        <v>0</v>
      </c>
      <c r="AX95" s="168"/>
      <c r="AY95" s="168"/>
      <c r="AZ95" s="168">
        <f t="shared" si="27"/>
        <v>0</v>
      </c>
      <c r="BA95" s="172"/>
      <c r="IH95" s="142"/>
      <c r="II95" s="142"/>
      <c r="IJ95" s="142"/>
      <c r="IK95" s="142"/>
      <c r="IL95" s="142"/>
      <c r="IM95" s="142"/>
      <c r="IN95" s="142"/>
    </row>
    <row r="96" s="135" customFormat="1" ht="12.95" customHeight="1" spans="1:248">
      <c r="A96" s="157">
        <f t="shared" si="29"/>
        <v>91</v>
      </c>
      <c r="B96" s="158" t="s">
        <v>46</v>
      </c>
      <c r="C96" s="1">
        <v>7611448</v>
      </c>
      <c r="D96" s="1" t="s">
        <v>164</v>
      </c>
      <c r="E96" s="1" t="s">
        <v>51</v>
      </c>
      <c r="F96" s="1" t="s">
        <v>52</v>
      </c>
      <c r="G96" s="1" t="s">
        <v>34</v>
      </c>
      <c r="H96" s="1" t="s">
        <v>34</v>
      </c>
      <c r="I96" s="1" t="s">
        <v>53</v>
      </c>
      <c r="J96" s="1" t="s">
        <v>54</v>
      </c>
      <c r="K96" s="1" t="s">
        <v>34</v>
      </c>
      <c r="L96" s="1" t="s">
        <v>34</v>
      </c>
      <c r="M96" s="1" t="s">
        <v>53</v>
      </c>
      <c r="N96" s="1" t="s">
        <v>54</v>
      </c>
      <c r="O96" s="1" t="s">
        <v>34</v>
      </c>
      <c r="P96" s="1" t="s">
        <v>34</v>
      </c>
      <c r="Q96" s="1" t="s">
        <v>53</v>
      </c>
      <c r="R96" s="1" t="s">
        <v>54</v>
      </c>
      <c r="S96" s="1" t="s">
        <v>34</v>
      </c>
      <c r="T96" s="1" t="s">
        <v>34</v>
      </c>
      <c r="U96" s="1" t="s">
        <v>53</v>
      </c>
      <c r="V96" s="1" t="s">
        <v>54</v>
      </c>
      <c r="W96" s="1" t="s">
        <v>34</v>
      </c>
      <c r="X96" s="1" t="s">
        <v>53</v>
      </c>
      <c r="Y96" s="1" t="s">
        <v>54</v>
      </c>
      <c r="Z96" s="1" t="s">
        <v>34</v>
      </c>
      <c r="AA96" s="1" t="s">
        <v>34</v>
      </c>
      <c r="AB96" s="1" t="s">
        <v>53</v>
      </c>
      <c r="AC96" s="1" t="s">
        <v>54</v>
      </c>
      <c r="AD96" s="1" t="s">
        <v>34</v>
      </c>
      <c r="AE96" s="1" t="s">
        <v>34</v>
      </c>
      <c r="AF96" s="1" t="s">
        <v>53</v>
      </c>
      <c r="AG96" s="1" t="s">
        <v>54</v>
      </c>
      <c r="AH96" s="1" t="s">
        <v>34</v>
      </c>
      <c r="AI96" s="1" t="s">
        <v>34</v>
      </c>
      <c r="AJ96" s="1" t="s">
        <v>53</v>
      </c>
      <c r="AK96" s="1" t="s">
        <v>54</v>
      </c>
      <c r="AL96" s="1">
        <v>31</v>
      </c>
      <c r="AM96" s="1">
        <v>31</v>
      </c>
      <c r="AN96" s="168">
        <f t="shared" si="21"/>
        <v>0</v>
      </c>
      <c r="AO96" s="168">
        <f t="shared" si="22"/>
        <v>0</v>
      </c>
      <c r="AP96" s="168">
        <f t="shared" si="23"/>
        <v>0</v>
      </c>
      <c r="AQ96" s="168">
        <f t="shared" si="24"/>
        <v>0</v>
      </c>
      <c r="AR96" s="168"/>
      <c r="AS96" s="168">
        <f t="shared" si="25"/>
        <v>0</v>
      </c>
      <c r="AT96" s="168"/>
      <c r="AU96" s="168"/>
      <c r="AV96" s="168"/>
      <c r="AW96" s="168">
        <f t="shared" si="26"/>
        <v>0</v>
      </c>
      <c r="AX96" s="168"/>
      <c r="AY96" s="168"/>
      <c r="AZ96" s="168">
        <f t="shared" si="27"/>
        <v>0</v>
      </c>
      <c r="BA96" s="172"/>
      <c r="IH96" s="142"/>
      <c r="II96" s="142"/>
      <c r="IJ96" s="142"/>
      <c r="IK96" s="142"/>
      <c r="IL96" s="142"/>
      <c r="IM96" s="142"/>
      <c r="IN96" s="142"/>
    </row>
    <row r="97" s="135" customFormat="1" ht="12.95" customHeight="1" spans="1:248">
      <c r="A97" s="157">
        <f t="shared" si="29"/>
        <v>92</v>
      </c>
      <c r="B97" s="158" t="s">
        <v>46</v>
      </c>
      <c r="C97" s="1">
        <v>7611855</v>
      </c>
      <c r="D97" s="1" t="s">
        <v>165</v>
      </c>
      <c r="E97" s="1" t="s">
        <v>59</v>
      </c>
      <c r="F97" s="1" t="s">
        <v>52</v>
      </c>
      <c r="G97" s="1" t="s">
        <v>55</v>
      </c>
      <c r="H97" s="1" t="s">
        <v>34</v>
      </c>
      <c r="I97" s="1" t="s">
        <v>55</v>
      </c>
      <c r="J97" s="1" t="s">
        <v>55</v>
      </c>
      <c r="K97" s="1" t="s">
        <v>34</v>
      </c>
      <c r="L97" s="1" t="s">
        <v>55</v>
      </c>
      <c r="M97" s="1" t="s">
        <v>55</v>
      </c>
      <c r="N97" s="165" t="s">
        <v>43</v>
      </c>
      <c r="O97" s="165" t="s">
        <v>43</v>
      </c>
      <c r="P97" s="165" t="s">
        <v>43</v>
      </c>
      <c r="Q97" s="165" t="s">
        <v>43</v>
      </c>
      <c r="R97" s="165" t="s">
        <v>43</v>
      </c>
      <c r="S97" s="165" t="s">
        <v>43</v>
      </c>
      <c r="T97" s="165" t="s">
        <v>43</v>
      </c>
      <c r="U97" s="165" t="s">
        <v>43</v>
      </c>
      <c r="V97" s="1" t="s">
        <v>34</v>
      </c>
      <c r="W97" s="165" t="s">
        <v>43</v>
      </c>
      <c r="X97" s="165" t="s">
        <v>43</v>
      </c>
      <c r="Y97" s="1" t="s">
        <v>34</v>
      </c>
      <c r="Z97" s="1" t="s">
        <v>34</v>
      </c>
      <c r="AA97" s="1" t="s">
        <v>54</v>
      </c>
      <c r="AB97" s="1" t="s">
        <v>34</v>
      </c>
      <c r="AC97" s="1" t="s">
        <v>53</v>
      </c>
      <c r="AD97" s="1" t="s">
        <v>34</v>
      </c>
      <c r="AE97" s="1" t="s">
        <v>55</v>
      </c>
      <c r="AF97" s="1" t="s">
        <v>55</v>
      </c>
      <c r="AG97" s="1" t="s">
        <v>34</v>
      </c>
      <c r="AH97" s="1" t="s">
        <v>55</v>
      </c>
      <c r="AI97" s="1" t="s">
        <v>55</v>
      </c>
      <c r="AJ97" s="165" t="s">
        <v>43</v>
      </c>
      <c r="AK97" s="165" t="s">
        <v>43</v>
      </c>
      <c r="AL97" s="1">
        <v>31</v>
      </c>
      <c r="AM97" s="1">
        <v>31</v>
      </c>
      <c r="AN97" s="168">
        <f t="shared" si="21"/>
        <v>0</v>
      </c>
      <c r="AO97" s="168">
        <f t="shared" si="22"/>
        <v>0</v>
      </c>
      <c r="AP97" s="168">
        <f t="shared" si="23"/>
        <v>0</v>
      </c>
      <c r="AQ97" s="168">
        <f t="shared" si="24"/>
        <v>0</v>
      </c>
      <c r="AR97" s="168"/>
      <c r="AS97" s="168">
        <f t="shared" si="25"/>
        <v>0</v>
      </c>
      <c r="AT97" s="168"/>
      <c r="AU97" s="168"/>
      <c r="AV97" s="168"/>
      <c r="AW97" s="168">
        <f t="shared" si="26"/>
        <v>0</v>
      </c>
      <c r="AX97" s="168"/>
      <c r="AY97" s="168"/>
      <c r="AZ97" s="168">
        <f t="shared" si="27"/>
        <v>0</v>
      </c>
      <c r="BA97" s="172" t="s">
        <v>63</v>
      </c>
      <c r="IH97" s="142"/>
      <c r="II97" s="142"/>
      <c r="IJ97" s="142"/>
      <c r="IK97" s="142"/>
      <c r="IL97" s="142"/>
      <c r="IM97" s="142"/>
      <c r="IN97" s="142"/>
    </row>
    <row r="98" s="135" customFormat="1" ht="12.95" customHeight="1" spans="1:248">
      <c r="A98" s="157">
        <f t="shared" si="29"/>
        <v>93</v>
      </c>
      <c r="B98" s="158" t="s">
        <v>46</v>
      </c>
      <c r="C98" s="1">
        <v>7642552</v>
      </c>
      <c r="D98" s="1" t="s">
        <v>166</v>
      </c>
      <c r="E98" s="1" t="s">
        <v>51</v>
      </c>
      <c r="F98" s="1" t="s">
        <v>52</v>
      </c>
      <c r="G98" s="1" t="s">
        <v>34</v>
      </c>
      <c r="H98" s="1" t="s">
        <v>55</v>
      </c>
      <c r="I98" s="1" t="s">
        <v>55</v>
      </c>
      <c r="J98" s="1" t="s">
        <v>34</v>
      </c>
      <c r="K98" s="1" t="s">
        <v>55</v>
      </c>
      <c r="L98" s="1" t="s">
        <v>55</v>
      </c>
      <c r="M98" s="1" t="s">
        <v>34</v>
      </c>
      <c r="N98" s="1" t="s">
        <v>55</v>
      </c>
      <c r="O98" s="1" t="s">
        <v>55</v>
      </c>
      <c r="P98" s="1" t="s">
        <v>34</v>
      </c>
      <c r="Q98" s="1" t="s">
        <v>55</v>
      </c>
      <c r="R98" s="1" t="s">
        <v>55</v>
      </c>
      <c r="S98" s="1" t="s">
        <v>34</v>
      </c>
      <c r="T98" s="1" t="s">
        <v>55</v>
      </c>
      <c r="U98" s="1" t="s">
        <v>55</v>
      </c>
      <c r="V98" s="1" t="s">
        <v>34</v>
      </c>
      <c r="W98" s="1" t="s">
        <v>55</v>
      </c>
      <c r="X98" s="1" t="s">
        <v>55</v>
      </c>
      <c r="Y98" s="1" t="s">
        <v>34</v>
      </c>
      <c r="Z98" s="1" t="s">
        <v>55</v>
      </c>
      <c r="AA98" s="1" t="s">
        <v>55</v>
      </c>
      <c r="AB98" s="1" t="s">
        <v>34</v>
      </c>
      <c r="AC98" s="1" t="s">
        <v>55</v>
      </c>
      <c r="AD98" s="1" t="s">
        <v>55</v>
      </c>
      <c r="AE98" s="1" t="s">
        <v>34</v>
      </c>
      <c r="AF98" s="1" t="s">
        <v>55</v>
      </c>
      <c r="AG98" s="1" t="s">
        <v>55</v>
      </c>
      <c r="AH98" s="1" t="s">
        <v>34</v>
      </c>
      <c r="AI98" s="1" t="s">
        <v>55</v>
      </c>
      <c r="AJ98" s="1" t="s">
        <v>55</v>
      </c>
      <c r="AK98" s="1" t="s">
        <v>34</v>
      </c>
      <c r="AL98" s="1">
        <v>31</v>
      </c>
      <c r="AM98" s="1">
        <v>31</v>
      </c>
      <c r="AN98" s="168">
        <f t="shared" si="21"/>
        <v>0</v>
      </c>
      <c r="AO98" s="168">
        <f t="shared" si="22"/>
        <v>0</v>
      </c>
      <c r="AP98" s="168">
        <f t="shared" si="23"/>
        <v>0</v>
      </c>
      <c r="AQ98" s="168">
        <f t="shared" si="24"/>
        <v>0</v>
      </c>
      <c r="AR98" s="168"/>
      <c r="AS98" s="168">
        <f t="shared" si="25"/>
        <v>0</v>
      </c>
      <c r="AT98" s="168"/>
      <c r="AU98" s="168"/>
      <c r="AV98" s="168"/>
      <c r="AW98" s="168">
        <f t="shared" si="26"/>
        <v>0</v>
      </c>
      <c r="AX98" s="168"/>
      <c r="AY98" s="168"/>
      <c r="AZ98" s="168">
        <f t="shared" si="27"/>
        <v>0</v>
      </c>
      <c r="BA98" s="172"/>
      <c r="IH98" s="142"/>
      <c r="II98" s="142"/>
      <c r="IJ98" s="142"/>
      <c r="IK98" s="142"/>
      <c r="IL98" s="142"/>
      <c r="IM98" s="142"/>
      <c r="IN98" s="142"/>
    </row>
    <row r="99" s="135" customFormat="1" ht="12.95" customHeight="1" spans="1:248">
      <c r="A99" s="157">
        <f t="shared" si="29"/>
        <v>94</v>
      </c>
      <c r="B99" s="158" t="s">
        <v>46</v>
      </c>
      <c r="C99" s="1">
        <v>7612951</v>
      </c>
      <c r="D99" s="1" t="s">
        <v>167</v>
      </c>
      <c r="E99" s="1" t="s">
        <v>59</v>
      </c>
      <c r="F99" s="1" t="s">
        <v>52</v>
      </c>
      <c r="G99" s="1" t="s">
        <v>53</v>
      </c>
      <c r="H99" s="1" t="s">
        <v>60</v>
      </c>
      <c r="I99" s="1" t="s">
        <v>34</v>
      </c>
      <c r="J99" s="1" t="s">
        <v>61</v>
      </c>
      <c r="K99" s="1" t="s">
        <v>53</v>
      </c>
      <c r="L99" s="1" t="s">
        <v>60</v>
      </c>
      <c r="M99" s="1" t="s">
        <v>34</v>
      </c>
      <c r="N99" s="1" t="s">
        <v>61</v>
      </c>
      <c r="O99" s="1" t="s">
        <v>53</v>
      </c>
      <c r="P99" s="1" t="s">
        <v>60</v>
      </c>
      <c r="Q99" s="1" t="s">
        <v>34</v>
      </c>
      <c r="R99" s="1" t="s">
        <v>61</v>
      </c>
      <c r="S99" s="1" t="s">
        <v>53</v>
      </c>
      <c r="T99" s="1" t="s">
        <v>60</v>
      </c>
      <c r="U99" s="1" t="s">
        <v>34</v>
      </c>
      <c r="V99" s="1" t="s">
        <v>61</v>
      </c>
      <c r="W99" s="1" t="s">
        <v>53</v>
      </c>
      <c r="X99" s="1" t="s">
        <v>60</v>
      </c>
      <c r="Y99" s="1" t="s">
        <v>34</v>
      </c>
      <c r="Z99" s="1" t="s">
        <v>54</v>
      </c>
      <c r="AA99" s="1" t="s">
        <v>34</v>
      </c>
      <c r="AB99" s="1" t="s">
        <v>53</v>
      </c>
      <c r="AC99" s="165" t="s">
        <v>43</v>
      </c>
      <c r="AD99" s="165" t="s">
        <v>43</v>
      </c>
      <c r="AE99" s="165" t="s">
        <v>43</v>
      </c>
      <c r="AF99" s="1" t="s">
        <v>34</v>
      </c>
      <c r="AG99" s="1" t="s">
        <v>34</v>
      </c>
      <c r="AH99" s="165" t="s">
        <v>43</v>
      </c>
      <c r="AI99" s="1" t="s">
        <v>54</v>
      </c>
      <c r="AJ99" s="1" t="s">
        <v>34</v>
      </c>
      <c r="AK99" s="165" t="s">
        <v>43</v>
      </c>
      <c r="AL99" s="1">
        <v>31</v>
      </c>
      <c r="AM99" s="1">
        <v>31</v>
      </c>
      <c r="AN99" s="168">
        <f t="shared" si="21"/>
        <v>0</v>
      </c>
      <c r="AO99" s="168">
        <f t="shared" si="22"/>
        <v>0</v>
      </c>
      <c r="AP99" s="168">
        <f t="shared" si="23"/>
        <v>0</v>
      </c>
      <c r="AQ99" s="168">
        <f t="shared" si="24"/>
        <v>0</v>
      </c>
      <c r="AR99" s="168"/>
      <c r="AS99" s="168">
        <f t="shared" si="25"/>
        <v>0</v>
      </c>
      <c r="AT99" s="168"/>
      <c r="AU99" s="168"/>
      <c r="AV99" s="168"/>
      <c r="AW99" s="168">
        <f t="shared" si="26"/>
        <v>0</v>
      </c>
      <c r="AX99" s="168"/>
      <c r="AY99" s="168"/>
      <c r="AZ99" s="168">
        <f t="shared" si="27"/>
        <v>0</v>
      </c>
      <c r="BA99" s="172" t="s">
        <v>168</v>
      </c>
      <c r="IH99" s="142"/>
      <c r="II99" s="142"/>
      <c r="IJ99" s="142"/>
      <c r="IK99" s="142"/>
      <c r="IL99" s="142"/>
      <c r="IM99" s="142"/>
      <c r="IN99" s="142"/>
    </row>
    <row r="100" s="135" customFormat="1" ht="12.95" customHeight="1" spans="1:248">
      <c r="A100" s="157">
        <f t="shared" si="29"/>
        <v>95</v>
      </c>
      <c r="B100" s="158" t="s">
        <v>46</v>
      </c>
      <c r="C100" s="1">
        <v>7642548</v>
      </c>
      <c r="D100" s="1" t="s">
        <v>169</v>
      </c>
      <c r="E100" s="1" t="s">
        <v>51</v>
      </c>
      <c r="F100" s="1" t="s">
        <v>52</v>
      </c>
      <c r="G100" s="177" t="s">
        <v>55</v>
      </c>
      <c r="H100" s="1" t="s">
        <v>34</v>
      </c>
      <c r="I100" s="1" t="s">
        <v>55</v>
      </c>
      <c r="J100" s="1" t="s">
        <v>55</v>
      </c>
      <c r="K100" s="1" t="s">
        <v>34</v>
      </c>
      <c r="L100" s="1" t="s">
        <v>55</v>
      </c>
      <c r="M100" s="1" t="s">
        <v>55</v>
      </c>
      <c r="N100" s="1" t="s">
        <v>34</v>
      </c>
      <c r="O100" s="1" t="s">
        <v>55</v>
      </c>
      <c r="P100" s="1" t="s">
        <v>55</v>
      </c>
      <c r="Q100" s="1" t="s">
        <v>34</v>
      </c>
      <c r="R100" s="1" t="s">
        <v>55</v>
      </c>
      <c r="S100" s="1" t="s">
        <v>55</v>
      </c>
      <c r="T100" s="1" t="s">
        <v>34</v>
      </c>
      <c r="U100" s="1" t="s">
        <v>55</v>
      </c>
      <c r="V100" s="1" t="s">
        <v>55</v>
      </c>
      <c r="W100" s="1" t="s">
        <v>34</v>
      </c>
      <c r="X100" s="1" t="s">
        <v>55</v>
      </c>
      <c r="Y100" s="1" t="s">
        <v>55</v>
      </c>
      <c r="Z100" s="1" t="s">
        <v>34</v>
      </c>
      <c r="AA100" s="1" t="s">
        <v>55</v>
      </c>
      <c r="AB100" s="1" t="s">
        <v>55</v>
      </c>
      <c r="AC100" s="1" t="s">
        <v>34</v>
      </c>
      <c r="AD100" s="1" t="s">
        <v>55</v>
      </c>
      <c r="AE100" s="1" t="s">
        <v>55</v>
      </c>
      <c r="AF100" s="1" t="s">
        <v>34</v>
      </c>
      <c r="AG100" s="1" t="s">
        <v>55</v>
      </c>
      <c r="AH100" s="1" t="s">
        <v>55</v>
      </c>
      <c r="AI100" s="1" t="s">
        <v>34</v>
      </c>
      <c r="AJ100" s="1" t="s">
        <v>55</v>
      </c>
      <c r="AK100" s="1" t="s">
        <v>55</v>
      </c>
      <c r="AL100" s="1">
        <v>31</v>
      </c>
      <c r="AM100" s="1">
        <v>31</v>
      </c>
      <c r="AN100" s="168">
        <f t="shared" si="21"/>
        <v>0</v>
      </c>
      <c r="AO100" s="168">
        <f t="shared" si="22"/>
        <v>0</v>
      </c>
      <c r="AP100" s="168">
        <f t="shared" si="23"/>
        <v>0</v>
      </c>
      <c r="AQ100" s="168">
        <f t="shared" si="24"/>
        <v>0</v>
      </c>
      <c r="AR100" s="168"/>
      <c r="AS100" s="168">
        <f t="shared" si="25"/>
        <v>0</v>
      </c>
      <c r="AT100" s="168"/>
      <c r="AU100" s="168"/>
      <c r="AV100" s="168"/>
      <c r="AW100" s="168">
        <f t="shared" si="26"/>
        <v>0</v>
      </c>
      <c r="AX100" s="168"/>
      <c r="AY100" s="168"/>
      <c r="AZ100" s="168">
        <f t="shared" si="27"/>
        <v>0</v>
      </c>
      <c r="BA100" s="172"/>
      <c r="IH100" s="142"/>
      <c r="II100" s="142"/>
      <c r="IJ100" s="142"/>
      <c r="IK100" s="142"/>
      <c r="IL100" s="142"/>
      <c r="IM100" s="142"/>
      <c r="IN100" s="142"/>
    </row>
    <row r="101" s="135" customFormat="1" ht="12.95" customHeight="1" spans="1:248">
      <c r="A101" s="157">
        <f t="shared" si="29"/>
        <v>96</v>
      </c>
      <c r="B101" s="158" t="s">
        <v>46</v>
      </c>
      <c r="C101" s="159" t="s">
        <v>170</v>
      </c>
      <c r="D101" s="1" t="s">
        <v>171</v>
      </c>
      <c r="E101" s="1" t="s">
        <v>51</v>
      </c>
      <c r="F101" s="1" t="s">
        <v>52</v>
      </c>
      <c r="G101" s="1" t="s">
        <v>34</v>
      </c>
      <c r="H101" s="1" t="s">
        <v>53</v>
      </c>
      <c r="I101" s="1" t="s">
        <v>54</v>
      </c>
      <c r="J101" s="1" t="s">
        <v>34</v>
      </c>
      <c r="K101" s="1" t="s">
        <v>34</v>
      </c>
      <c r="L101" s="1" t="s">
        <v>54</v>
      </c>
      <c r="M101" s="1" t="s">
        <v>34</v>
      </c>
      <c r="N101" s="1" t="s">
        <v>53</v>
      </c>
      <c r="O101" s="1" t="s">
        <v>54</v>
      </c>
      <c r="P101" s="1" t="s">
        <v>34</v>
      </c>
      <c r="Q101" s="1" t="s">
        <v>34</v>
      </c>
      <c r="R101" s="1" t="s">
        <v>53</v>
      </c>
      <c r="S101" s="1" t="s">
        <v>54</v>
      </c>
      <c r="T101" s="1" t="s">
        <v>34</v>
      </c>
      <c r="U101" s="1" t="s">
        <v>34</v>
      </c>
      <c r="V101" s="1" t="s">
        <v>53</v>
      </c>
      <c r="W101" s="1" t="s">
        <v>54</v>
      </c>
      <c r="X101" s="1" t="s">
        <v>34</v>
      </c>
      <c r="Y101" s="1" t="s">
        <v>34</v>
      </c>
      <c r="Z101" s="1" t="s">
        <v>53</v>
      </c>
      <c r="AA101" s="1" t="s">
        <v>54</v>
      </c>
      <c r="AB101" s="1" t="s">
        <v>34</v>
      </c>
      <c r="AC101" s="1" t="s">
        <v>34</v>
      </c>
      <c r="AD101" s="1" t="s">
        <v>53</v>
      </c>
      <c r="AE101" s="1" t="s">
        <v>54</v>
      </c>
      <c r="AF101" s="1" t="s">
        <v>34</v>
      </c>
      <c r="AG101" s="1" t="s">
        <v>34</v>
      </c>
      <c r="AH101" s="1" t="s">
        <v>53</v>
      </c>
      <c r="AI101" s="1" t="s">
        <v>54</v>
      </c>
      <c r="AJ101" s="1" t="s">
        <v>34</v>
      </c>
      <c r="AK101" s="1" t="s">
        <v>34</v>
      </c>
      <c r="AL101" s="1">
        <v>31</v>
      </c>
      <c r="AM101" s="1">
        <v>31</v>
      </c>
      <c r="AN101" s="168">
        <f t="shared" si="21"/>
        <v>0</v>
      </c>
      <c r="AO101" s="168">
        <f t="shared" si="22"/>
        <v>0</v>
      </c>
      <c r="AP101" s="168">
        <f t="shared" si="23"/>
        <v>0</v>
      </c>
      <c r="AQ101" s="168">
        <f t="shared" si="24"/>
        <v>0</v>
      </c>
      <c r="AR101" s="168"/>
      <c r="AS101" s="168">
        <f t="shared" si="25"/>
        <v>0</v>
      </c>
      <c r="AT101" s="168"/>
      <c r="AU101" s="168"/>
      <c r="AV101" s="168"/>
      <c r="AW101" s="168">
        <f t="shared" si="26"/>
        <v>0</v>
      </c>
      <c r="AX101" s="168"/>
      <c r="AY101" s="168"/>
      <c r="AZ101" s="168">
        <f t="shared" si="27"/>
        <v>0</v>
      </c>
      <c r="BA101" s="172"/>
      <c r="IH101" s="142"/>
      <c r="II101" s="142"/>
      <c r="IJ101" s="142"/>
      <c r="IK101" s="142"/>
      <c r="IL101" s="142"/>
      <c r="IM101" s="142"/>
      <c r="IN101" s="142"/>
    </row>
    <row r="102" s="135" customFormat="1" ht="12.95" customHeight="1" spans="1:248">
      <c r="A102" s="157">
        <f t="shared" ref="A102:A111" si="30">ROW()-5</f>
        <v>97</v>
      </c>
      <c r="B102" s="158" t="s">
        <v>46</v>
      </c>
      <c r="C102" s="1">
        <v>7613103</v>
      </c>
      <c r="D102" s="1" t="s">
        <v>172</v>
      </c>
      <c r="E102" s="1" t="s">
        <v>59</v>
      </c>
      <c r="F102" s="1" t="s">
        <v>52</v>
      </c>
      <c r="G102" s="1" t="s">
        <v>55</v>
      </c>
      <c r="H102" s="1" t="s">
        <v>55</v>
      </c>
      <c r="I102" s="1" t="s">
        <v>34</v>
      </c>
      <c r="J102" s="1" t="s">
        <v>55</v>
      </c>
      <c r="K102" s="1" t="s">
        <v>55</v>
      </c>
      <c r="L102" s="1" t="s">
        <v>34</v>
      </c>
      <c r="M102" s="1" t="s">
        <v>55</v>
      </c>
      <c r="N102" s="1" t="s">
        <v>55</v>
      </c>
      <c r="O102" s="1" t="s">
        <v>34</v>
      </c>
      <c r="P102" s="1" t="s">
        <v>55</v>
      </c>
      <c r="Q102" s="1" t="s">
        <v>55</v>
      </c>
      <c r="R102" s="1" t="s">
        <v>34</v>
      </c>
      <c r="S102" s="1" t="s">
        <v>55</v>
      </c>
      <c r="T102" s="1" t="s">
        <v>55</v>
      </c>
      <c r="U102" s="1" t="s">
        <v>34</v>
      </c>
      <c r="V102" s="1" t="s">
        <v>55</v>
      </c>
      <c r="W102" s="1" t="s">
        <v>55</v>
      </c>
      <c r="X102" s="1" t="s">
        <v>34</v>
      </c>
      <c r="Y102" s="1" t="s">
        <v>55</v>
      </c>
      <c r="Z102" s="1" t="s">
        <v>55</v>
      </c>
      <c r="AA102" s="1" t="s">
        <v>34</v>
      </c>
      <c r="AB102" s="1" t="s">
        <v>55</v>
      </c>
      <c r="AC102" s="1" t="s">
        <v>55</v>
      </c>
      <c r="AD102" s="1" t="s">
        <v>34</v>
      </c>
      <c r="AE102" s="1" t="s">
        <v>55</v>
      </c>
      <c r="AF102" s="1" t="s">
        <v>55</v>
      </c>
      <c r="AG102" s="1" t="s">
        <v>34</v>
      </c>
      <c r="AH102" s="1" t="s">
        <v>55</v>
      </c>
      <c r="AI102" s="1" t="s">
        <v>55</v>
      </c>
      <c r="AJ102" s="1" t="s">
        <v>34</v>
      </c>
      <c r="AK102" s="1" t="s">
        <v>55</v>
      </c>
      <c r="AL102" s="1">
        <v>31</v>
      </c>
      <c r="AM102" s="1">
        <v>31</v>
      </c>
      <c r="AN102" s="168">
        <f t="shared" si="21"/>
        <v>0</v>
      </c>
      <c r="AO102" s="168">
        <f t="shared" si="22"/>
        <v>0</v>
      </c>
      <c r="AP102" s="168">
        <f t="shared" si="23"/>
        <v>0</v>
      </c>
      <c r="AQ102" s="168">
        <f t="shared" si="24"/>
        <v>0</v>
      </c>
      <c r="AR102" s="168"/>
      <c r="AS102" s="168">
        <f t="shared" si="25"/>
        <v>0</v>
      </c>
      <c r="AT102" s="168"/>
      <c r="AU102" s="168"/>
      <c r="AV102" s="168"/>
      <c r="AW102" s="168">
        <f t="shared" si="26"/>
        <v>0</v>
      </c>
      <c r="AX102" s="168"/>
      <c r="AY102" s="168"/>
      <c r="AZ102" s="168">
        <f t="shared" si="27"/>
        <v>0</v>
      </c>
      <c r="BA102" s="172"/>
      <c r="IH102" s="142"/>
      <c r="II102" s="142"/>
      <c r="IJ102" s="142"/>
      <c r="IK102" s="142"/>
      <c r="IL102" s="142"/>
      <c r="IM102" s="142"/>
      <c r="IN102" s="142"/>
    </row>
    <row r="103" ht="12.95" customHeight="1" spans="1:53">
      <c r="A103" s="157">
        <f t="shared" si="30"/>
        <v>98</v>
      </c>
      <c r="B103" s="158" t="s">
        <v>46</v>
      </c>
      <c r="C103" s="1" t="s">
        <v>173</v>
      </c>
      <c r="D103" s="1" t="s">
        <v>174</v>
      </c>
      <c r="E103" s="1" t="s">
        <v>51</v>
      </c>
      <c r="F103" s="1" t="s">
        <v>52</v>
      </c>
      <c r="G103" s="154" t="s">
        <v>34</v>
      </c>
      <c r="H103" s="1" t="s">
        <v>34</v>
      </c>
      <c r="I103" s="1" t="s">
        <v>53</v>
      </c>
      <c r="J103" s="1" t="s">
        <v>54</v>
      </c>
      <c r="K103" s="1" t="s">
        <v>34</v>
      </c>
      <c r="L103" s="1" t="s">
        <v>34</v>
      </c>
      <c r="M103" s="1" t="s">
        <v>34</v>
      </c>
      <c r="N103" s="1" t="s">
        <v>53</v>
      </c>
      <c r="O103" s="1" t="s">
        <v>54</v>
      </c>
      <c r="P103" s="1" t="s">
        <v>34</v>
      </c>
      <c r="Q103" s="1" t="s">
        <v>34</v>
      </c>
      <c r="R103" s="1" t="s">
        <v>53</v>
      </c>
      <c r="S103" s="1" t="s">
        <v>54</v>
      </c>
      <c r="T103" s="1" t="s">
        <v>34</v>
      </c>
      <c r="U103" s="1" t="s">
        <v>34</v>
      </c>
      <c r="V103" s="1" t="s">
        <v>53</v>
      </c>
      <c r="W103" s="1" t="s">
        <v>54</v>
      </c>
      <c r="X103" s="1" t="s">
        <v>34</v>
      </c>
      <c r="Y103" s="1" t="s">
        <v>34</v>
      </c>
      <c r="Z103" s="1" t="s">
        <v>53</v>
      </c>
      <c r="AA103" s="1" t="s">
        <v>54</v>
      </c>
      <c r="AB103" s="1" t="s">
        <v>34</v>
      </c>
      <c r="AC103" s="1" t="s">
        <v>34</v>
      </c>
      <c r="AD103" s="1" t="s">
        <v>53</v>
      </c>
      <c r="AE103" s="1" t="s">
        <v>54</v>
      </c>
      <c r="AF103" s="1" t="s">
        <v>34</v>
      </c>
      <c r="AG103" s="1" t="s">
        <v>34</v>
      </c>
      <c r="AH103" s="1" t="s">
        <v>53</v>
      </c>
      <c r="AI103" s="1" t="s">
        <v>54</v>
      </c>
      <c r="AJ103" s="1" t="s">
        <v>34</v>
      </c>
      <c r="AK103" s="1" t="s">
        <v>34</v>
      </c>
      <c r="AL103" s="1">
        <v>31</v>
      </c>
      <c r="AM103" s="1">
        <v>31</v>
      </c>
      <c r="AN103" s="168">
        <f t="shared" ref="AN103:AN144" si="31">COUNTIF(G103:AK103,"病")</f>
        <v>0</v>
      </c>
      <c r="AO103" s="168">
        <f t="shared" ref="AO103:AO144" si="32">COUNTIF(G103:AK103,"事")</f>
        <v>0</v>
      </c>
      <c r="AP103" s="168">
        <f t="shared" ref="AP103:AP144" si="33">COUNTIF(G103:AK103,"探")</f>
        <v>0</v>
      </c>
      <c r="AQ103" s="168">
        <f t="shared" ref="AQ103:AQ144" si="34">COUNTIF(G103:AK103,"年")</f>
        <v>0</v>
      </c>
      <c r="AR103" s="168"/>
      <c r="AS103" s="168">
        <f t="shared" ref="AS103:AS144" si="35">COUNTIF(G103:AK103,"伤")</f>
        <v>0</v>
      </c>
      <c r="AT103" s="168"/>
      <c r="AU103" s="168"/>
      <c r="AV103" s="168"/>
      <c r="AW103" s="168">
        <f t="shared" ref="AW103:AW144" si="36">COUNTIF(G103:AK103,"康")</f>
        <v>0</v>
      </c>
      <c r="AX103" s="168"/>
      <c r="AY103" s="168"/>
      <c r="AZ103" s="168">
        <f t="shared" ref="AZ103:AZ144" si="37">SUM(AN103:AY103)-AW103</f>
        <v>0</v>
      </c>
      <c r="BA103" s="172"/>
    </row>
    <row r="104" s="135" customFormat="1" ht="12.95" customHeight="1" spans="1:248">
      <c r="A104" s="157">
        <f t="shared" si="30"/>
        <v>99</v>
      </c>
      <c r="B104" s="158" t="s">
        <v>46</v>
      </c>
      <c r="C104" s="159">
        <v>7612367</v>
      </c>
      <c r="D104" s="1" t="s">
        <v>175</v>
      </c>
      <c r="E104" s="1" t="s">
        <v>51</v>
      </c>
      <c r="F104" s="1" t="s">
        <v>52</v>
      </c>
      <c r="G104" s="1" t="s">
        <v>53</v>
      </c>
      <c r="H104" s="1" t="s">
        <v>54</v>
      </c>
      <c r="I104" s="1" t="s">
        <v>34</v>
      </c>
      <c r="J104" s="1" t="s">
        <v>34</v>
      </c>
      <c r="K104" s="1" t="s">
        <v>53</v>
      </c>
      <c r="L104" s="1" t="s">
        <v>54</v>
      </c>
      <c r="M104" s="1" t="s">
        <v>34</v>
      </c>
      <c r="N104" s="1" t="s">
        <v>34</v>
      </c>
      <c r="O104" s="1" t="s">
        <v>53</v>
      </c>
      <c r="P104" s="1" t="s">
        <v>54</v>
      </c>
      <c r="Q104" s="1" t="s">
        <v>34</v>
      </c>
      <c r="R104" s="1" t="s">
        <v>34</v>
      </c>
      <c r="S104" s="1" t="s">
        <v>53</v>
      </c>
      <c r="T104" s="1" t="s">
        <v>54</v>
      </c>
      <c r="U104" s="1" t="s">
        <v>34</v>
      </c>
      <c r="V104" s="1" t="s">
        <v>34</v>
      </c>
      <c r="W104" s="1" t="s">
        <v>53</v>
      </c>
      <c r="X104" s="1" t="s">
        <v>54</v>
      </c>
      <c r="Y104" s="1" t="s">
        <v>34</v>
      </c>
      <c r="Z104" s="1" t="s">
        <v>34</v>
      </c>
      <c r="AA104" s="1" t="s">
        <v>53</v>
      </c>
      <c r="AB104" s="1" t="s">
        <v>54</v>
      </c>
      <c r="AC104" s="1" t="s">
        <v>34</v>
      </c>
      <c r="AD104" s="1" t="s">
        <v>34</v>
      </c>
      <c r="AE104" s="1" t="s">
        <v>53</v>
      </c>
      <c r="AF104" s="1" t="s">
        <v>54</v>
      </c>
      <c r="AG104" s="1" t="s">
        <v>34</v>
      </c>
      <c r="AH104" s="1" t="s">
        <v>34</v>
      </c>
      <c r="AI104" s="1" t="s">
        <v>53</v>
      </c>
      <c r="AJ104" s="1" t="s">
        <v>54</v>
      </c>
      <c r="AK104" s="1" t="s">
        <v>34</v>
      </c>
      <c r="AL104" s="1">
        <v>31</v>
      </c>
      <c r="AM104" s="1">
        <v>31</v>
      </c>
      <c r="AN104" s="168">
        <f t="shared" si="31"/>
        <v>0</v>
      </c>
      <c r="AO104" s="168">
        <f t="shared" si="32"/>
        <v>0</v>
      </c>
      <c r="AP104" s="168">
        <f t="shared" si="33"/>
        <v>0</v>
      </c>
      <c r="AQ104" s="168">
        <f t="shared" si="34"/>
        <v>0</v>
      </c>
      <c r="AR104" s="168"/>
      <c r="AS104" s="168">
        <f t="shared" si="35"/>
        <v>0</v>
      </c>
      <c r="AT104" s="168"/>
      <c r="AU104" s="168"/>
      <c r="AV104" s="168"/>
      <c r="AW104" s="168">
        <f t="shared" si="36"/>
        <v>0</v>
      </c>
      <c r="AX104" s="168"/>
      <c r="AY104" s="168"/>
      <c r="AZ104" s="168">
        <f t="shared" si="37"/>
        <v>0</v>
      </c>
      <c r="BA104" s="172"/>
      <c r="IH104" s="142"/>
      <c r="II104" s="142"/>
      <c r="IJ104" s="142"/>
      <c r="IK104" s="142"/>
      <c r="IL104" s="142"/>
      <c r="IM104" s="142"/>
      <c r="IN104" s="142"/>
    </row>
    <row r="105" s="135" customFormat="1" ht="12.95" customHeight="1" spans="1:248">
      <c r="A105" s="157">
        <f t="shared" si="30"/>
        <v>100</v>
      </c>
      <c r="B105" s="158" t="s">
        <v>46</v>
      </c>
      <c r="C105" s="159">
        <v>7612362</v>
      </c>
      <c r="D105" s="1" t="s">
        <v>176</v>
      </c>
      <c r="E105" s="1" t="s">
        <v>51</v>
      </c>
      <c r="F105" s="1" t="s">
        <v>52</v>
      </c>
      <c r="G105" s="1" t="s">
        <v>53</v>
      </c>
      <c r="H105" s="1" t="s">
        <v>54</v>
      </c>
      <c r="I105" s="1" t="s">
        <v>34</v>
      </c>
      <c r="J105" s="1" t="s">
        <v>34</v>
      </c>
      <c r="K105" s="1" t="s">
        <v>53</v>
      </c>
      <c r="L105" s="1" t="s">
        <v>54</v>
      </c>
      <c r="M105" s="1" t="s">
        <v>34</v>
      </c>
      <c r="N105" s="1" t="s">
        <v>34</v>
      </c>
      <c r="O105" s="1" t="s">
        <v>53</v>
      </c>
      <c r="P105" s="1" t="s">
        <v>54</v>
      </c>
      <c r="Q105" s="1" t="s">
        <v>34</v>
      </c>
      <c r="R105" s="1" t="s">
        <v>34</v>
      </c>
      <c r="S105" s="1" t="s">
        <v>53</v>
      </c>
      <c r="T105" s="1" t="s">
        <v>54</v>
      </c>
      <c r="U105" s="1" t="s">
        <v>34</v>
      </c>
      <c r="V105" s="1" t="s">
        <v>34</v>
      </c>
      <c r="W105" s="1" t="s">
        <v>53</v>
      </c>
      <c r="X105" s="1" t="s">
        <v>54</v>
      </c>
      <c r="Y105" s="1" t="s">
        <v>34</v>
      </c>
      <c r="Z105" s="1" t="s">
        <v>34</v>
      </c>
      <c r="AA105" s="1" t="s">
        <v>53</v>
      </c>
      <c r="AB105" s="1" t="s">
        <v>54</v>
      </c>
      <c r="AC105" s="1" t="s">
        <v>34</v>
      </c>
      <c r="AD105" s="1" t="s">
        <v>34</v>
      </c>
      <c r="AE105" s="1" t="s">
        <v>53</v>
      </c>
      <c r="AF105" s="1" t="s">
        <v>54</v>
      </c>
      <c r="AG105" s="1" t="s">
        <v>34</v>
      </c>
      <c r="AH105" s="1" t="s">
        <v>34</v>
      </c>
      <c r="AI105" s="1" t="s">
        <v>53</v>
      </c>
      <c r="AJ105" s="1" t="s">
        <v>54</v>
      </c>
      <c r="AK105" s="1" t="s">
        <v>34</v>
      </c>
      <c r="AL105" s="1">
        <v>31</v>
      </c>
      <c r="AM105" s="1">
        <v>31</v>
      </c>
      <c r="AN105" s="168">
        <f t="shared" si="31"/>
        <v>0</v>
      </c>
      <c r="AO105" s="168">
        <f t="shared" si="32"/>
        <v>0</v>
      </c>
      <c r="AP105" s="168">
        <f t="shared" si="33"/>
        <v>0</v>
      </c>
      <c r="AQ105" s="168">
        <f t="shared" si="34"/>
        <v>0</v>
      </c>
      <c r="AR105" s="168"/>
      <c r="AS105" s="168">
        <f t="shared" si="35"/>
        <v>0</v>
      </c>
      <c r="AT105" s="168"/>
      <c r="AU105" s="168"/>
      <c r="AV105" s="168"/>
      <c r="AW105" s="168">
        <f t="shared" si="36"/>
        <v>0</v>
      </c>
      <c r="AX105" s="168"/>
      <c r="AY105" s="168"/>
      <c r="AZ105" s="168">
        <f t="shared" si="37"/>
        <v>0</v>
      </c>
      <c r="BA105" s="172"/>
      <c r="IH105" s="142"/>
      <c r="II105" s="142"/>
      <c r="IJ105" s="142"/>
      <c r="IK105" s="142"/>
      <c r="IL105" s="142"/>
      <c r="IM105" s="142"/>
      <c r="IN105" s="142"/>
    </row>
    <row r="106" s="135" customFormat="1" ht="12.95" customHeight="1" spans="1:248">
      <c r="A106" s="157">
        <f t="shared" si="30"/>
        <v>101</v>
      </c>
      <c r="B106" s="158" t="s">
        <v>46</v>
      </c>
      <c r="C106" s="1">
        <v>7611437</v>
      </c>
      <c r="D106" s="1" t="s">
        <v>177</v>
      </c>
      <c r="E106" s="1" t="s">
        <v>59</v>
      </c>
      <c r="F106" s="1" t="s">
        <v>52</v>
      </c>
      <c r="G106" s="1" t="s">
        <v>53</v>
      </c>
      <c r="H106" s="1" t="s">
        <v>34</v>
      </c>
      <c r="I106" s="1" t="s">
        <v>34</v>
      </c>
      <c r="J106" s="1" t="s">
        <v>53</v>
      </c>
      <c r="K106" s="1" t="s">
        <v>54</v>
      </c>
      <c r="L106" s="1" t="s">
        <v>34</v>
      </c>
      <c r="M106" s="1" t="s">
        <v>53</v>
      </c>
      <c r="N106" s="1" t="s">
        <v>54</v>
      </c>
      <c r="O106" s="1" t="s">
        <v>34</v>
      </c>
      <c r="P106" s="1" t="s">
        <v>34</v>
      </c>
      <c r="Q106" s="1" t="s">
        <v>53</v>
      </c>
      <c r="R106" s="1" t="s">
        <v>54</v>
      </c>
      <c r="S106" s="1" t="s">
        <v>34</v>
      </c>
      <c r="T106" s="1" t="s">
        <v>34</v>
      </c>
      <c r="U106" s="1" t="s">
        <v>53</v>
      </c>
      <c r="V106" s="1" t="s">
        <v>54</v>
      </c>
      <c r="W106" s="1" t="s">
        <v>34</v>
      </c>
      <c r="X106" s="1" t="s">
        <v>53</v>
      </c>
      <c r="Y106" s="1" t="s">
        <v>54</v>
      </c>
      <c r="Z106" s="1" t="s">
        <v>34</v>
      </c>
      <c r="AA106" s="1" t="s">
        <v>34</v>
      </c>
      <c r="AB106" s="1" t="s">
        <v>34</v>
      </c>
      <c r="AC106" s="1" t="s">
        <v>54</v>
      </c>
      <c r="AD106" s="1" t="s">
        <v>34</v>
      </c>
      <c r="AE106" s="1" t="s">
        <v>34</v>
      </c>
      <c r="AF106" s="1" t="s">
        <v>53</v>
      </c>
      <c r="AG106" s="1" t="s">
        <v>54</v>
      </c>
      <c r="AH106" s="1" t="s">
        <v>34</v>
      </c>
      <c r="AI106" s="1" t="s">
        <v>34</v>
      </c>
      <c r="AJ106" s="1" t="s">
        <v>53</v>
      </c>
      <c r="AK106" s="1" t="s">
        <v>54</v>
      </c>
      <c r="AL106" s="1">
        <v>31</v>
      </c>
      <c r="AM106" s="1">
        <v>31</v>
      </c>
      <c r="AN106" s="168">
        <f t="shared" si="31"/>
        <v>0</v>
      </c>
      <c r="AO106" s="168">
        <f t="shared" si="32"/>
        <v>0</v>
      </c>
      <c r="AP106" s="168">
        <f t="shared" si="33"/>
        <v>0</v>
      </c>
      <c r="AQ106" s="168">
        <f t="shared" si="34"/>
        <v>0</v>
      </c>
      <c r="AR106" s="168"/>
      <c r="AS106" s="168">
        <f t="shared" si="35"/>
        <v>0</v>
      </c>
      <c r="AT106" s="168"/>
      <c r="AU106" s="168"/>
      <c r="AV106" s="168"/>
      <c r="AW106" s="168">
        <f t="shared" si="36"/>
        <v>0</v>
      </c>
      <c r="AX106" s="168"/>
      <c r="AY106" s="168"/>
      <c r="AZ106" s="168">
        <f t="shared" si="37"/>
        <v>0</v>
      </c>
      <c r="BA106" s="172"/>
      <c r="IH106" s="142"/>
      <c r="II106" s="142"/>
      <c r="IJ106" s="142"/>
      <c r="IK106" s="142"/>
      <c r="IL106" s="142"/>
      <c r="IM106" s="142"/>
      <c r="IN106" s="142"/>
    </row>
    <row r="107" s="136" customFormat="1" ht="12.95" customHeight="1" spans="1:248">
      <c r="A107" s="157">
        <f t="shared" si="30"/>
        <v>102</v>
      </c>
      <c r="B107" s="158" t="s">
        <v>46</v>
      </c>
      <c r="C107" s="1">
        <v>7642566</v>
      </c>
      <c r="D107" s="1" t="s">
        <v>178</v>
      </c>
      <c r="E107" s="1" t="s">
        <v>51</v>
      </c>
      <c r="F107" s="1" t="s">
        <v>52</v>
      </c>
      <c r="G107" s="1" t="s">
        <v>55</v>
      </c>
      <c r="H107" s="1" t="s">
        <v>55</v>
      </c>
      <c r="I107" s="1" t="s">
        <v>34</v>
      </c>
      <c r="J107" s="1" t="s">
        <v>55</v>
      </c>
      <c r="K107" s="1" t="s">
        <v>55</v>
      </c>
      <c r="L107" s="1" t="s">
        <v>34</v>
      </c>
      <c r="M107" s="1" t="s">
        <v>55</v>
      </c>
      <c r="N107" s="1" t="s">
        <v>55</v>
      </c>
      <c r="O107" s="1" t="s">
        <v>34</v>
      </c>
      <c r="P107" s="1" t="s">
        <v>55</v>
      </c>
      <c r="Q107" s="1" t="s">
        <v>55</v>
      </c>
      <c r="R107" s="1" t="s">
        <v>34</v>
      </c>
      <c r="S107" s="1" t="s">
        <v>55</v>
      </c>
      <c r="T107" s="1" t="s">
        <v>55</v>
      </c>
      <c r="U107" s="1" t="s">
        <v>34</v>
      </c>
      <c r="V107" s="1" t="s">
        <v>55</v>
      </c>
      <c r="W107" s="1" t="s">
        <v>55</v>
      </c>
      <c r="X107" s="1" t="s">
        <v>34</v>
      </c>
      <c r="Y107" s="1" t="s">
        <v>55</v>
      </c>
      <c r="Z107" s="1" t="s">
        <v>55</v>
      </c>
      <c r="AA107" s="1" t="s">
        <v>34</v>
      </c>
      <c r="AB107" s="1" t="s">
        <v>55</v>
      </c>
      <c r="AC107" s="1" t="s">
        <v>55</v>
      </c>
      <c r="AD107" s="1" t="s">
        <v>34</v>
      </c>
      <c r="AE107" s="1" t="s">
        <v>55</v>
      </c>
      <c r="AF107" s="1" t="s">
        <v>55</v>
      </c>
      <c r="AG107" s="1" t="s">
        <v>34</v>
      </c>
      <c r="AH107" s="1" t="s">
        <v>55</v>
      </c>
      <c r="AI107" s="1" t="s">
        <v>55</v>
      </c>
      <c r="AJ107" s="1" t="s">
        <v>34</v>
      </c>
      <c r="AK107" s="1" t="s">
        <v>55</v>
      </c>
      <c r="AL107" s="1">
        <v>31</v>
      </c>
      <c r="AM107" s="1">
        <v>31</v>
      </c>
      <c r="AN107" s="168">
        <f t="shared" si="31"/>
        <v>0</v>
      </c>
      <c r="AO107" s="168">
        <f t="shared" si="32"/>
        <v>0</v>
      </c>
      <c r="AP107" s="168">
        <f t="shared" si="33"/>
        <v>0</v>
      </c>
      <c r="AQ107" s="168">
        <f t="shared" si="34"/>
        <v>0</v>
      </c>
      <c r="AR107" s="171"/>
      <c r="AS107" s="168">
        <f t="shared" si="35"/>
        <v>0</v>
      </c>
      <c r="AT107" s="171"/>
      <c r="AU107" s="171"/>
      <c r="AV107" s="171"/>
      <c r="AW107" s="168">
        <f t="shared" si="36"/>
        <v>0</v>
      </c>
      <c r="AX107" s="171"/>
      <c r="AY107" s="171"/>
      <c r="AZ107" s="168">
        <f t="shared" si="37"/>
        <v>0</v>
      </c>
      <c r="BA107" s="172"/>
      <c r="BB107" s="135"/>
      <c r="IH107" s="174"/>
      <c r="II107" s="174"/>
      <c r="IJ107" s="174"/>
      <c r="IK107" s="174"/>
      <c r="IL107" s="174"/>
      <c r="IM107" s="174"/>
      <c r="IN107" s="174"/>
    </row>
    <row r="108" s="135" customFormat="1" ht="12.95" customHeight="1" spans="1:248">
      <c r="A108" s="157">
        <f t="shared" si="30"/>
        <v>103</v>
      </c>
      <c r="B108" s="158" t="s">
        <v>46</v>
      </c>
      <c r="C108" s="1">
        <v>7612682</v>
      </c>
      <c r="D108" s="1" t="s">
        <v>179</v>
      </c>
      <c r="E108" s="1" t="s">
        <v>59</v>
      </c>
      <c r="F108" s="1" t="s">
        <v>52</v>
      </c>
      <c r="G108" s="1" t="s">
        <v>34</v>
      </c>
      <c r="H108" s="1" t="s">
        <v>55</v>
      </c>
      <c r="I108" s="1" t="s">
        <v>55</v>
      </c>
      <c r="J108" s="1" t="s">
        <v>34</v>
      </c>
      <c r="K108" s="1" t="s">
        <v>55</v>
      </c>
      <c r="L108" s="1" t="s">
        <v>55</v>
      </c>
      <c r="M108" s="1" t="s">
        <v>34</v>
      </c>
      <c r="N108" s="1" t="s">
        <v>55</v>
      </c>
      <c r="O108" s="1" t="s">
        <v>55</v>
      </c>
      <c r="P108" s="1" t="s">
        <v>34</v>
      </c>
      <c r="Q108" s="1" t="s">
        <v>55</v>
      </c>
      <c r="R108" s="1" t="s">
        <v>55</v>
      </c>
      <c r="S108" s="1" t="s">
        <v>34</v>
      </c>
      <c r="T108" s="1" t="s">
        <v>55</v>
      </c>
      <c r="U108" s="1" t="s">
        <v>55</v>
      </c>
      <c r="V108" s="1" t="s">
        <v>34</v>
      </c>
      <c r="W108" s="1" t="s">
        <v>55</v>
      </c>
      <c r="X108" s="1" t="s">
        <v>55</v>
      </c>
      <c r="Y108" s="1" t="s">
        <v>34</v>
      </c>
      <c r="Z108" s="1" t="s">
        <v>55</v>
      </c>
      <c r="AA108" s="1" t="s">
        <v>55</v>
      </c>
      <c r="AB108" s="1" t="s">
        <v>34</v>
      </c>
      <c r="AC108" s="1" t="s">
        <v>55</v>
      </c>
      <c r="AD108" s="1" t="s">
        <v>55</v>
      </c>
      <c r="AE108" s="1" t="s">
        <v>34</v>
      </c>
      <c r="AF108" s="165" t="s">
        <v>43</v>
      </c>
      <c r="AG108" s="165" t="s">
        <v>43</v>
      </c>
      <c r="AH108" s="165" t="s">
        <v>43</v>
      </c>
      <c r="AI108" s="1" t="s">
        <v>55</v>
      </c>
      <c r="AJ108" s="1" t="s">
        <v>55</v>
      </c>
      <c r="AK108" s="1" t="s">
        <v>34</v>
      </c>
      <c r="AL108" s="1">
        <v>31</v>
      </c>
      <c r="AM108" s="1">
        <v>31</v>
      </c>
      <c r="AN108" s="168">
        <f t="shared" si="31"/>
        <v>0</v>
      </c>
      <c r="AO108" s="168">
        <f t="shared" si="32"/>
        <v>0</v>
      </c>
      <c r="AP108" s="168">
        <f t="shared" si="33"/>
        <v>0</v>
      </c>
      <c r="AQ108" s="168">
        <f t="shared" si="34"/>
        <v>0</v>
      </c>
      <c r="AR108" s="168"/>
      <c r="AS108" s="168">
        <f t="shared" si="35"/>
        <v>0</v>
      </c>
      <c r="AT108" s="168"/>
      <c r="AU108" s="168"/>
      <c r="AV108" s="168"/>
      <c r="AW108" s="168">
        <f t="shared" si="36"/>
        <v>0</v>
      </c>
      <c r="AX108" s="168"/>
      <c r="AY108" s="168"/>
      <c r="AZ108" s="168">
        <f t="shared" si="37"/>
        <v>0</v>
      </c>
      <c r="BA108" s="172"/>
      <c r="IH108" s="142"/>
      <c r="II108" s="142"/>
      <c r="IJ108" s="142"/>
      <c r="IK108" s="142"/>
      <c r="IL108" s="142"/>
      <c r="IM108" s="142"/>
      <c r="IN108" s="142"/>
    </row>
    <row r="109" s="135" customFormat="1" ht="12.95" customHeight="1" spans="1:248">
      <c r="A109" s="157">
        <f t="shared" si="30"/>
        <v>104</v>
      </c>
      <c r="B109" s="158" t="s">
        <v>46</v>
      </c>
      <c r="C109" s="1">
        <v>7612036</v>
      </c>
      <c r="D109" s="1" t="s">
        <v>180</v>
      </c>
      <c r="E109" s="1" t="s">
        <v>59</v>
      </c>
      <c r="F109" s="1" t="s">
        <v>52</v>
      </c>
      <c r="G109" s="1" t="s">
        <v>34</v>
      </c>
      <c r="H109" s="1" t="s">
        <v>55</v>
      </c>
      <c r="I109" s="1" t="s">
        <v>55</v>
      </c>
      <c r="J109" s="1" t="s">
        <v>34</v>
      </c>
      <c r="K109" s="1" t="s">
        <v>55</v>
      </c>
      <c r="L109" s="1" t="s">
        <v>55</v>
      </c>
      <c r="M109" s="1" t="s">
        <v>34</v>
      </c>
      <c r="N109" s="1" t="s">
        <v>55</v>
      </c>
      <c r="O109" s="1" t="s">
        <v>55</v>
      </c>
      <c r="P109" s="1" t="s">
        <v>34</v>
      </c>
      <c r="Q109" s="1" t="s">
        <v>55</v>
      </c>
      <c r="R109" s="1" t="s">
        <v>55</v>
      </c>
      <c r="S109" s="1" t="s">
        <v>34</v>
      </c>
      <c r="T109" s="1" t="s">
        <v>55</v>
      </c>
      <c r="U109" s="1" t="s">
        <v>55</v>
      </c>
      <c r="V109" s="1" t="s">
        <v>34</v>
      </c>
      <c r="W109" s="1" t="s">
        <v>55</v>
      </c>
      <c r="X109" s="1" t="s">
        <v>55</v>
      </c>
      <c r="Y109" s="1" t="s">
        <v>34</v>
      </c>
      <c r="Z109" s="1" t="s">
        <v>181</v>
      </c>
      <c r="AA109" s="165" t="s">
        <v>56</v>
      </c>
      <c r="AB109" s="1" t="s">
        <v>55</v>
      </c>
      <c r="AC109" s="1" t="s">
        <v>55</v>
      </c>
      <c r="AD109" s="165" t="s">
        <v>43</v>
      </c>
      <c r="AE109" s="165" t="s">
        <v>43</v>
      </c>
      <c r="AF109" s="1" t="s">
        <v>55</v>
      </c>
      <c r="AG109" s="1" t="s">
        <v>55</v>
      </c>
      <c r="AH109" s="1" t="s">
        <v>34</v>
      </c>
      <c r="AI109" s="165" t="s">
        <v>43</v>
      </c>
      <c r="AJ109" s="165" t="s">
        <v>43</v>
      </c>
      <c r="AK109" s="1" t="s">
        <v>34</v>
      </c>
      <c r="AL109" s="1">
        <v>31</v>
      </c>
      <c r="AM109" s="1">
        <v>29</v>
      </c>
      <c r="AN109" s="168">
        <f t="shared" si="31"/>
        <v>0</v>
      </c>
      <c r="AO109" s="168">
        <f t="shared" si="32"/>
        <v>1</v>
      </c>
      <c r="AP109" s="168">
        <f t="shared" si="33"/>
        <v>0</v>
      </c>
      <c r="AQ109" s="168">
        <f t="shared" si="34"/>
        <v>1</v>
      </c>
      <c r="AR109" s="168"/>
      <c r="AS109" s="168">
        <f t="shared" si="35"/>
        <v>0</v>
      </c>
      <c r="AT109" s="168"/>
      <c r="AU109" s="168"/>
      <c r="AV109" s="168"/>
      <c r="AW109" s="168">
        <f t="shared" si="36"/>
        <v>0</v>
      </c>
      <c r="AX109" s="168"/>
      <c r="AY109" s="168"/>
      <c r="AZ109" s="168">
        <f t="shared" si="37"/>
        <v>2</v>
      </c>
      <c r="BA109" s="172"/>
      <c r="IH109" s="142"/>
      <c r="II109" s="142"/>
      <c r="IJ109" s="142"/>
      <c r="IK109" s="142"/>
      <c r="IL109" s="142"/>
      <c r="IM109" s="142"/>
      <c r="IN109" s="142"/>
    </row>
    <row r="110" s="135" customFormat="1" ht="12.95" customHeight="1" spans="1:248">
      <c r="A110" s="157">
        <f t="shared" si="30"/>
        <v>105</v>
      </c>
      <c r="B110" s="158" t="s">
        <v>46</v>
      </c>
      <c r="C110" s="159">
        <v>7642092</v>
      </c>
      <c r="D110" s="1" t="s">
        <v>182</v>
      </c>
      <c r="E110" s="1" t="s">
        <v>51</v>
      </c>
      <c r="F110" s="1" t="s">
        <v>52</v>
      </c>
      <c r="G110" s="1" t="s">
        <v>34</v>
      </c>
      <c r="H110" s="1" t="s">
        <v>55</v>
      </c>
      <c r="I110" s="1" t="s">
        <v>55</v>
      </c>
      <c r="J110" s="1" t="s">
        <v>34</v>
      </c>
      <c r="K110" s="1" t="s">
        <v>55</v>
      </c>
      <c r="L110" s="1" t="s">
        <v>55</v>
      </c>
      <c r="M110" s="1" t="s">
        <v>34</v>
      </c>
      <c r="N110" s="1" t="s">
        <v>55</v>
      </c>
      <c r="O110" s="1" t="s">
        <v>55</v>
      </c>
      <c r="P110" s="1" t="s">
        <v>34</v>
      </c>
      <c r="Q110" s="1" t="s">
        <v>55</v>
      </c>
      <c r="R110" s="1" t="s">
        <v>55</v>
      </c>
      <c r="S110" s="1" t="s">
        <v>34</v>
      </c>
      <c r="T110" s="1" t="s">
        <v>55</v>
      </c>
      <c r="U110" s="1" t="s">
        <v>55</v>
      </c>
      <c r="V110" s="1" t="s">
        <v>34</v>
      </c>
      <c r="W110" s="1" t="s">
        <v>55</v>
      </c>
      <c r="X110" s="1" t="s">
        <v>55</v>
      </c>
      <c r="Y110" s="1" t="s">
        <v>34</v>
      </c>
      <c r="Z110" s="1" t="s">
        <v>55</v>
      </c>
      <c r="AA110" s="1" t="s">
        <v>55</v>
      </c>
      <c r="AB110" s="1" t="s">
        <v>34</v>
      </c>
      <c r="AC110" s="1" t="s">
        <v>55</v>
      </c>
      <c r="AD110" s="1" t="s">
        <v>55</v>
      </c>
      <c r="AE110" s="1" t="s">
        <v>34</v>
      </c>
      <c r="AF110" s="1" t="s">
        <v>55</v>
      </c>
      <c r="AG110" s="1" t="s">
        <v>55</v>
      </c>
      <c r="AH110" s="1" t="s">
        <v>34</v>
      </c>
      <c r="AI110" s="1" t="s">
        <v>55</v>
      </c>
      <c r="AJ110" s="1" t="s">
        <v>55</v>
      </c>
      <c r="AK110" s="1" t="s">
        <v>34</v>
      </c>
      <c r="AL110" s="1">
        <v>31</v>
      </c>
      <c r="AM110" s="1">
        <v>31</v>
      </c>
      <c r="AN110" s="168">
        <f t="shared" si="31"/>
        <v>0</v>
      </c>
      <c r="AO110" s="168">
        <f t="shared" si="32"/>
        <v>0</v>
      </c>
      <c r="AP110" s="168">
        <f t="shared" si="33"/>
        <v>0</v>
      </c>
      <c r="AQ110" s="168">
        <f t="shared" si="34"/>
        <v>0</v>
      </c>
      <c r="AR110" s="168"/>
      <c r="AS110" s="168">
        <f t="shared" si="35"/>
        <v>0</v>
      </c>
      <c r="AT110" s="168"/>
      <c r="AU110" s="168"/>
      <c r="AV110" s="168"/>
      <c r="AW110" s="168">
        <f t="shared" si="36"/>
        <v>0</v>
      </c>
      <c r="AX110" s="168"/>
      <c r="AY110" s="168"/>
      <c r="AZ110" s="168">
        <f t="shared" si="37"/>
        <v>0</v>
      </c>
      <c r="BA110" s="172"/>
      <c r="IH110" s="142"/>
      <c r="II110" s="142"/>
      <c r="IJ110" s="142"/>
      <c r="IK110" s="142"/>
      <c r="IL110" s="142"/>
      <c r="IM110" s="142"/>
      <c r="IN110" s="142"/>
    </row>
    <row r="111" s="135" customFormat="1" ht="12.95" customHeight="1" spans="1:248">
      <c r="A111" s="157">
        <f t="shared" si="30"/>
        <v>106</v>
      </c>
      <c r="B111" s="158" t="s">
        <v>46</v>
      </c>
      <c r="C111" s="159">
        <v>7610790</v>
      </c>
      <c r="D111" s="1" t="s">
        <v>183</v>
      </c>
      <c r="E111" s="1" t="s">
        <v>51</v>
      </c>
      <c r="F111" s="1" t="s">
        <v>52</v>
      </c>
      <c r="G111" s="1" t="s">
        <v>55</v>
      </c>
      <c r="H111" s="1" t="s">
        <v>55</v>
      </c>
      <c r="I111" s="1" t="s">
        <v>34</v>
      </c>
      <c r="J111" s="1" t="s">
        <v>55</v>
      </c>
      <c r="K111" s="1" t="s">
        <v>55</v>
      </c>
      <c r="L111" s="1" t="s">
        <v>34</v>
      </c>
      <c r="M111" s="1" t="s">
        <v>55</v>
      </c>
      <c r="N111" s="1" t="s">
        <v>55</v>
      </c>
      <c r="O111" s="1" t="s">
        <v>34</v>
      </c>
      <c r="P111" s="1" t="s">
        <v>55</v>
      </c>
      <c r="Q111" s="1" t="s">
        <v>55</v>
      </c>
      <c r="R111" s="1" t="s">
        <v>34</v>
      </c>
      <c r="S111" s="1" t="s">
        <v>55</v>
      </c>
      <c r="T111" s="1" t="s">
        <v>55</v>
      </c>
      <c r="U111" s="1" t="s">
        <v>34</v>
      </c>
      <c r="V111" s="1" t="s">
        <v>55</v>
      </c>
      <c r="W111" s="1" t="s">
        <v>55</v>
      </c>
      <c r="X111" s="1" t="s">
        <v>34</v>
      </c>
      <c r="Y111" s="1" t="s">
        <v>55</v>
      </c>
      <c r="Z111" s="1" t="s">
        <v>55</v>
      </c>
      <c r="AA111" s="1" t="s">
        <v>34</v>
      </c>
      <c r="AB111" s="1" t="s">
        <v>55</v>
      </c>
      <c r="AC111" s="1" t="s">
        <v>55</v>
      </c>
      <c r="AD111" s="1" t="s">
        <v>34</v>
      </c>
      <c r="AE111" s="1" t="s">
        <v>55</v>
      </c>
      <c r="AF111" s="1" t="s">
        <v>55</v>
      </c>
      <c r="AG111" s="1" t="s">
        <v>34</v>
      </c>
      <c r="AH111" s="1" t="s">
        <v>55</v>
      </c>
      <c r="AI111" s="1" t="s">
        <v>55</v>
      </c>
      <c r="AJ111" s="1" t="s">
        <v>34</v>
      </c>
      <c r="AK111" s="1" t="s">
        <v>55</v>
      </c>
      <c r="AL111" s="1">
        <v>31</v>
      </c>
      <c r="AM111" s="1">
        <v>31</v>
      </c>
      <c r="AN111" s="168">
        <f t="shared" si="31"/>
        <v>0</v>
      </c>
      <c r="AO111" s="168">
        <f t="shared" si="32"/>
        <v>0</v>
      </c>
      <c r="AP111" s="168">
        <f t="shared" si="33"/>
        <v>0</v>
      </c>
      <c r="AQ111" s="168">
        <f t="shared" si="34"/>
        <v>0</v>
      </c>
      <c r="AR111" s="168"/>
      <c r="AS111" s="168">
        <f t="shared" si="35"/>
        <v>0</v>
      </c>
      <c r="AT111" s="168"/>
      <c r="AU111" s="168"/>
      <c r="AV111" s="168"/>
      <c r="AW111" s="168">
        <f t="shared" si="36"/>
        <v>0</v>
      </c>
      <c r="AX111" s="168"/>
      <c r="AY111" s="168"/>
      <c r="AZ111" s="168">
        <f t="shared" si="37"/>
        <v>0</v>
      </c>
      <c r="BA111" s="172"/>
      <c r="IH111" s="142"/>
      <c r="II111" s="142"/>
      <c r="IJ111" s="142"/>
      <c r="IK111" s="142"/>
      <c r="IL111" s="142"/>
      <c r="IM111" s="142"/>
      <c r="IN111" s="142"/>
    </row>
    <row r="112" s="135" customFormat="1" ht="12.95" customHeight="1" spans="1:248">
      <c r="A112" s="157">
        <f t="shared" ref="A112:A121" si="38">ROW()-5</f>
        <v>107</v>
      </c>
      <c r="B112" s="158" t="s">
        <v>46</v>
      </c>
      <c r="C112" s="1">
        <v>7612369</v>
      </c>
      <c r="D112" s="1" t="s">
        <v>184</v>
      </c>
      <c r="E112" s="1" t="s">
        <v>51</v>
      </c>
      <c r="F112" s="1" t="s">
        <v>52</v>
      </c>
      <c r="G112" s="1" t="s">
        <v>55</v>
      </c>
      <c r="H112" s="1" t="s">
        <v>34</v>
      </c>
      <c r="I112" s="1" t="s">
        <v>55</v>
      </c>
      <c r="J112" s="1" t="s">
        <v>55</v>
      </c>
      <c r="K112" s="1" t="s">
        <v>34</v>
      </c>
      <c r="L112" s="1" t="s">
        <v>55</v>
      </c>
      <c r="M112" s="1" t="s">
        <v>55</v>
      </c>
      <c r="N112" s="1" t="s">
        <v>34</v>
      </c>
      <c r="O112" s="1" t="s">
        <v>55</v>
      </c>
      <c r="P112" s="1" t="s">
        <v>55</v>
      </c>
      <c r="Q112" s="1" t="s">
        <v>34</v>
      </c>
      <c r="R112" s="1" t="s">
        <v>55</v>
      </c>
      <c r="S112" s="1" t="s">
        <v>55</v>
      </c>
      <c r="T112" s="1" t="s">
        <v>34</v>
      </c>
      <c r="U112" s="1" t="s">
        <v>55</v>
      </c>
      <c r="V112" s="1" t="s">
        <v>55</v>
      </c>
      <c r="W112" s="1" t="s">
        <v>34</v>
      </c>
      <c r="X112" s="1" t="s">
        <v>55</v>
      </c>
      <c r="Y112" s="1" t="s">
        <v>55</v>
      </c>
      <c r="Z112" s="1" t="s">
        <v>34</v>
      </c>
      <c r="AA112" s="1" t="s">
        <v>55</v>
      </c>
      <c r="AB112" s="1" t="s">
        <v>55</v>
      </c>
      <c r="AC112" s="1" t="s">
        <v>34</v>
      </c>
      <c r="AD112" s="1" t="s">
        <v>55</v>
      </c>
      <c r="AE112" s="1" t="s">
        <v>55</v>
      </c>
      <c r="AF112" s="1" t="s">
        <v>34</v>
      </c>
      <c r="AG112" s="1" t="s">
        <v>55</v>
      </c>
      <c r="AH112" s="1" t="s">
        <v>55</v>
      </c>
      <c r="AI112" s="1" t="s">
        <v>34</v>
      </c>
      <c r="AJ112" s="1" t="s">
        <v>55</v>
      </c>
      <c r="AK112" s="1" t="s">
        <v>55</v>
      </c>
      <c r="AL112" s="1">
        <v>31</v>
      </c>
      <c r="AM112" s="1">
        <v>31</v>
      </c>
      <c r="AN112" s="168">
        <f t="shared" si="31"/>
        <v>0</v>
      </c>
      <c r="AO112" s="168">
        <f t="shared" si="32"/>
        <v>0</v>
      </c>
      <c r="AP112" s="168">
        <f t="shared" si="33"/>
        <v>0</v>
      </c>
      <c r="AQ112" s="168">
        <f t="shared" si="34"/>
        <v>0</v>
      </c>
      <c r="AR112" s="168"/>
      <c r="AS112" s="168">
        <f t="shared" si="35"/>
        <v>0</v>
      </c>
      <c r="AT112" s="168"/>
      <c r="AU112" s="168"/>
      <c r="AV112" s="168"/>
      <c r="AW112" s="168">
        <f t="shared" si="36"/>
        <v>0</v>
      </c>
      <c r="AX112" s="168"/>
      <c r="AY112" s="168"/>
      <c r="AZ112" s="168">
        <f t="shared" si="37"/>
        <v>0</v>
      </c>
      <c r="BA112" s="172"/>
      <c r="IH112" s="142"/>
      <c r="II112" s="142"/>
      <c r="IJ112" s="142"/>
      <c r="IK112" s="142"/>
      <c r="IL112" s="142"/>
      <c r="IM112" s="142"/>
      <c r="IN112" s="142"/>
    </row>
    <row r="113" s="135" customFormat="1" ht="12.95" customHeight="1" spans="1:248">
      <c r="A113" s="157">
        <f t="shared" si="38"/>
        <v>108</v>
      </c>
      <c r="B113" s="158" t="s">
        <v>46</v>
      </c>
      <c r="C113" s="1">
        <v>7610926</v>
      </c>
      <c r="D113" s="1" t="s">
        <v>185</v>
      </c>
      <c r="E113" s="1" t="s">
        <v>59</v>
      </c>
      <c r="F113" s="1" t="s">
        <v>52</v>
      </c>
      <c r="G113" s="177" t="s">
        <v>55</v>
      </c>
      <c r="H113" s="1" t="s">
        <v>55</v>
      </c>
      <c r="I113" s="1" t="s">
        <v>34</v>
      </c>
      <c r="J113" s="1" t="s">
        <v>55</v>
      </c>
      <c r="K113" s="1" t="s">
        <v>55</v>
      </c>
      <c r="L113" s="1" t="s">
        <v>34</v>
      </c>
      <c r="M113" s="1" t="s">
        <v>55</v>
      </c>
      <c r="N113" s="1" t="s">
        <v>55</v>
      </c>
      <c r="O113" s="1" t="s">
        <v>34</v>
      </c>
      <c r="P113" s="1" t="s">
        <v>55</v>
      </c>
      <c r="Q113" s="1" t="s">
        <v>55</v>
      </c>
      <c r="R113" s="1" t="s">
        <v>34</v>
      </c>
      <c r="S113" s="1" t="s">
        <v>55</v>
      </c>
      <c r="T113" s="1" t="s">
        <v>55</v>
      </c>
      <c r="U113" s="1" t="s">
        <v>34</v>
      </c>
      <c r="V113" s="1" t="s">
        <v>55</v>
      </c>
      <c r="W113" s="1" t="s">
        <v>55</v>
      </c>
      <c r="X113" s="1" t="s">
        <v>34</v>
      </c>
      <c r="Y113" s="1" t="s">
        <v>55</v>
      </c>
      <c r="Z113" s="1" t="s">
        <v>55</v>
      </c>
      <c r="AA113" s="1" t="s">
        <v>34</v>
      </c>
      <c r="AB113" s="1" t="s">
        <v>55</v>
      </c>
      <c r="AC113" s="1" t="s">
        <v>55</v>
      </c>
      <c r="AD113" s="1" t="s">
        <v>34</v>
      </c>
      <c r="AE113" s="1" t="s">
        <v>55</v>
      </c>
      <c r="AF113" s="1" t="s">
        <v>55</v>
      </c>
      <c r="AG113" s="1" t="s">
        <v>34</v>
      </c>
      <c r="AH113" s="1" t="s">
        <v>55</v>
      </c>
      <c r="AI113" s="1" t="s">
        <v>55</v>
      </c>
      <c r="AJ113" s="165" t="s">
        <v>43</v>
      </c>
      <c r="AK113" s="165" t="s">
        <v>43</v>
      </c>
      <c r="AL113" s="1">
        <v>31</v>
      </c>
      <c r="AM113" s="1">
        <v>31</v>
      </c>
      <c r="AN113" s="168">
        <f t="shared" si="31"/>
        <v>0</v>
      </c>
      <c r="AO113" s="168">
        <f t="shared" si="32"/>
        <v>0</v>
      </c>
      <c r="AP113" s="168">
        <f t="shared" si="33"/>
        <v>0</v>
      </c>
      <c r="AQ113" s="168">
        <f t="shared" si="34"/>
        <v>0</v>
      </c>
      <c r="AR113" s="168"/>
      <c r="AS113" s="168">
        <f t="shared" si="35"/>
        <v>0</v>
      </c>
      <c r="AT113" s="168"/>
      <c r="AU113" s="168"/>
      <c r="AV113" s="168"/>
      <c r="AW113" s="168">
        <f t="shared" si="36"/>
        <v>0</v>
      </c>
      <c r="AX113" s="168"/>
      <c r="AY113" s="168"/>
      <c r="AZ113" s="168">
        <f t="shared" si="37"/>
        <v>0</v>
      </c>
      <c r="BA113" s="172"/>
      <c r="IH113" s="142"/>
      <c r="II113" s="142"/>
      <c r="IJ113" s="142"/>
      <c r="IK113" s="142"/>
      <c r="IL113" s="142"/>
      <c r="IM113" s="142"/>
      <c r="IN113" s="142"/>
    </row>
    <row r="114" s="135" customFormat="1" ht="12.95" customHeight="1" spans="1:248">
      <c r="A114" s="157">
        <f t="shared" si="38"/>
        <v>109</v>
      </c>
      <c r="B114" s="158" t="s">
        <v>46</v>
      </c>
      <c r="C114" s="159">
        <v>7611434</v>
      </c>
      <c r="D114" s="1" t="s">
        <v>186</v>
      </c>
      <c r="E114" s="1" t="s">
        <v>51</v>
      </c>
      <c r="F114" s="1" t="s">
        <v>52</v>
      </c>
      <c r="G114" s="1" t="s">
        <v>34</v>
      </c>
      <c r="H114" s="1" t="s">
        <v>53</v>
      </c>
      <c r="I114" s="1" t="s">
        <v>54</v>
      </c>
      <c r="J114" s="1" t="s">
        <v>34</v>
      </c>
      <c r="K114" s="1" t="s">
        <v>34</v>
      </c>
      <c r="L114" s="1" t="s">
        <v>53</v>
      </c>
      <c r="M114" s="1" t="s">
        <v>54</v>
      </c>
      <c r="N114" s="1" t="s">
        <v>34</v>
      </c>
      <c r="O114" s="1" t="s">
        <v>34</v>
      </c>
      <c r="P114" s="1" t="s">
        <v>53</v>
      </c>
      <c r="Q114" s="1" t="s">
        <v>54</v>
      </c>
      <c r="R114" s="1" t="s">
        <v>34</v>
      </c>
      <c r="S114" s="1" t="s">
        <v>34</v>
      </c>
      <c r="T114" s="1" t="s">
        <v>53</v>
      </c>
      <c r="U114" s="1" t="s">
        <v>54</v>
      </c>
      <c r="V114" s="1" t="s">
        <v>34</v>
      </c>
      <c r="W114" s="1" t="s">
        <v>34</v>
      </c>
      <c r="X114" s="1" t="s">
        <v>53</v>
      </c>
      <c r="Y114" s="1" t="s">
        <v>54</v>
      </c>
      <c r="Z114" s="1" t="s">
        <v>34</v>
      </c>
      <c r="AA114" s="1" t="s">
        <v>34</v>
      </c>
      <c r="AB114" s="1" t="s">
        <v>53</v>
      </c>
      <c r="AC114" s="1" t="s">
        <v>54</v>
      </c>
      <c r="AD114" s="1" t="s">
        <v>34</v>
      </c>
      <c r="AE114" s="1" t="s">
        <v>34</v>
      </c>
      <c r="AF114" s="1" t="s">
        <v>53</v>
      </c>
      <c r="AG114" s="1" t="s">
        <v>54</v>
      </c>
      <c r="AH114" s="1" t="s">
        <v>34</v>
      </c>
      <c r="AI114" s="1" t="s">
        <v>34</v>
      </c>
      <c r="AJ114" s="1" t="s">
        <v>53</v>
      </c>
      <c r="AK114" s="1" t="s">
        <v>54</v>
      </c>
      <c r="AL114" s="1">
        <v>31</v>
      </c>
      <c r="AM114" s="1">
        <v>31</v>
      </c>
      <c r="AN114" s="168">
        <f t="shared" si="31"/>
        <v>0</v>
      </c>
      <c r="AO114" s="168">
        <f t="shared" si="32"/>
        <v>0</v>
      </c>
      <c r="AP114" s="168">
        <f t="shared" si="33"/>
        <v>0</v>
      </c>
      <c r="AQ114" s="168">
        <f t="shared" si="34"/>
        <v>0</v>
      </c>
      <c r="AR114" s="168"/>
      <c r="AS114" s="168">
        <f t="shared" si="35"/>
        <v>0</v>
      </c>
      <c r="AT114" s="168"/>
      <c r="AU114" s="168"/>
      <c r="AV114" s="168"/>
      <c r="AW114" s="168">
        <f t="shared" si="36"/>
        <v>0</v>
      </c>
      <c r="AX114" s="168"/>
      <c r="AY114" s="168"/>
      <c r="AZ114" s="168">
        <f t="shared" si="37"/>
        <v>0</v>
      </c>
      <c r="BA114" s="172"/>
      <c r="IH114" s="142"/>
      <c r="II114" s="142"/>
      <c r="IJ114" s="142"/>
      <c r="IK114" s="142"/>
      <c r="IL114" s="142"/>
      <c r="IM114" s="142"/>
      <c r="IN114" s="142"/>
    </row>
    <row r="115" s="135" customFormat="1" ht="14.1" customHeight="1" spans="1:248">
      <c r="A115" s="157">
        <f t="shared" si="38"/>
        <v>110</v>
      </c>
      <c r="B115" s="158" t="s">
        <v>46</v>
      </c>
      <c r="C115" s="1">
        <v>7610853</v>
      </c>
      <c r="D115" s="1" t="s">
        <v>187</v>
      </c>
      <c r="E115" s="1" t="s">
        <v>51</v>
      </c>
      <c r="F115" s="1" t="s">
        <v>52</v>
      </c>
      <c r="G115" s="1" t="s">
        <v>55</v>
      </c>
      <c r="H115" s="1" t="s">
        <v>34</v>
      </c>
      <c r="I115" s="1" t="s">
        <v>55</v>
      </c>
      <c r="J115" s="1" t="s">
        <v>55</v>
      </c>
      <c r="K115" s="1" t="s">
        <v>34</v>
      </c>
      <c r="L115" s="1" t="s">
        <v>55</v>
      </c>
      <c r="M115" s="1" t="s">
        <v>55</v>
      </c>
      <c r="N115" s="1" t="s">
        <v>34</v>
      </c>
      <c r="O115" s="1" t="s">
        <v>55</v>
      </c>
      <c r="P115" s="1" t="s">
        <v>55</v>
      </c>
      <c r="Q115" s="1" t="s">
        <v>34</v>
      </c>
      <c r="R115" s="1" t="s">
        <v>55</v>
      </c>
      <c r="S115" s="1" t="s">
        <v>55</v>
      </c>
      <c r="T115" s="1" t="s">
        <v>34</v>
      </c>
      <c r="U115" s="1" t="s">
        <v>55</v>
      </c>
      <c r="V115" s="1" t="s">
        <v>55</v>
      </c>
      <c r="W115" s="1" t="s">
        <v>34</v>
      </c>
      <c r="X115" s="1" t="s">
        <v>55</v>
      </c>
      <c r="Y115" s="1" t="s">
        <v>55</v>
      </c>
      <c r="Z115" s="1" t="s">
        <v>34</v>
      </c>
      <c r="AA115" s="1" t="s">
        <v>55</v>
      </c>
      <c r="AB115" s="1" t="s">
        <v>55</v>
      </c>
      <c r="AC115" s="1" t="s">
        <v>34</v>
      </c>
      <c r="AD115" s="1" t="s">
        <v>55</v>
      </c>
      <c r="AE115" s="1" t="s">
        <v>55</v>
      </c>
      <c r="AF115" s="1" t="s">
        <v>34</v>
      </c>
      <c r="AG115" s="1" t="s">
        <v>55</v>
      </c>
      <c r="AH115" s="1" t="s">
        <v>55</v>
      </c>
      <c r="AI115" s="1" t="s">
        <v>34</v>
      </c>
      <c r="AJ115" s="1" t="s">
        <v>55</v>
      </c>
      <c r="AK115" s="1" t="s">
        <v>55</v>
      </c>
      <c r="AL115" s="1">
        <v>31</v>
      </c>
      <c r="AM115" s="1">
        <v>31</v>
      </c>
      <c r="AN115" s="168">
        <f t="shared" si="31"/>
        <v>0</v>
      </c>
      <c r="AO115" s="168">
        <f t="shared" si="32"/>
        <v>0</v>
      </c>
      <c r="AP115" s="168">
        <f t="shared" si="33"/>
        <v>0</v>
      </c>
      <c r="AQ115" s="168">
        <f t="shared" si="34"/>
        <v>0</v>
      </c>
      <c r="AR115" s="168"/>
      <c r="AS115" s="168">
        <f t="shared" si="35"/>
        <v>0</v>
      </c>
      <c r="AT115" s="168"/>
      <c r="AU115" s="168"/>
      <c r="AV115" s="168"/>
      <c r="AW115" s="168">
        <f t="shared" si="36"/>
        <v>0</v>
      </c>
      <c r="AX115" s="168"/>
      <c r="AY115" s="168"/>
      <c r="AZ115" s="168">
        <f t="shared" si="37"/>
        <v>0</v>
      </c>
      <c r="BA115" s="172"/>
      <c r="IH115" s="142"/>
      <c r="II115" s="142"/>
      <c r="IJ115" s="142"/>
      <c r="IK115" s="142"/>
      <c r="IL115" s="142"/>
      <c r="IM115" s="142"/>
      <c r="IN115" s="142"/>
    </row>
    <row r="116" s="135" customFormat="1" ht="12.95" customHeight="1" spans="1:248">
      <c r="A116" s="157">
        <f t="shared" si="38"/>
        <v>111</v>
      </c>
      <c r="B116" s="158" t="s">
        <v>48</v>
      </c>
      <c r="C116" s="1" t="s">
        <v>188</v>
      </c>
      <c r="D116" s="1" t="s">
        <v>189</v>
      </c>
      <c r="E116" s="1" t="s">
        <v>51</v>
      </c>
      <c r="F116" s="1" t="s">
        <v>52</v>
      </c>
      <c r="G116" s="177" t="s">
        <v>61</v>
      </c>
      <c r="H116" s="1" t="s">
        <v>53</v>
      </c>
      <c r="I116" s="1" t="s">
        <v>60</v>
      </c>
      <c r="J116" s="1" t="s">
        <v>34</v>
      </c>
      <c r="K116" s="1" t="s">
        <v>61</v>
      </c>
      <c r="L116" s="1" t="s">
        <v>53</v>
      </c>
      <c r="M116" s="1" t="s">
        <v>60</v>
      </c>
      <c r="N116" s="1" t="s">
        <v>34</v>
      </c>
      <c r="O116" s="1" t="s">
        <v>61</v>
      </c>
      <c r="P116" s="1" t="s">
        <v>53</v>
      </c>
      <c r="Q116" s="1" t="s">
        <v>60</v>
      </c>
      <c r="R116" s="1" t="s">
        <v>34</v>
      </c>
      <c r="S116" s="1" t="s">
        <v>61</v>
      </c>
      <c r="T116" s="1" t="s">
        <v>53</v>
      </c>
      <c r="U116" s="1" t="s">
        <v>60</v>
      </c>
      <c r="V116" s="1" t="s">
        <v>34</v>
      </c>
      <c r="W116" s="1" t="s">
        <v>61</v>
      </c>
      <c r="X116" s="1" t="s">
        <v>53</v>
      </c>
      <c r="Y116" s="1" t="s">
        <v>60</v>
      </c>
      <c r="Z116" s="1" t="s">
        <v>34</v>
      </c>
      <c r="AA116" s="1" t="s">
        <v>61</v>
      </c>
      <c r="AB116" s="1" t="s">
        <v>53</v>
      </c>
      <c r="AC116" s="1" t="s">
        <v>60</v>
      </c>
      <c r="AD116" s="1" t="s">
        <v>34</v>
      </c>
      <c r="AE116" s="1" t="s">
        <v>61</v>
      </c>
      <c r="AF116" s="1" t="s">
        <v>53</v>
      </c>
      <c r="AG116" s="1" t="s">
        <v>60</v>
      </c>
      <c r="AH116" s="1" t="s">
        <v>34</v>
      </c>
      <c r="AI116" s="1" t="s">
        <v>61</v>
      </c>
      <c r="AJ116" s="1" t="s">
        <v>53</v>
      </c>
      <c r="AK116" s="1" t="s">
        <v>60</v>
      </c>
      <c r="AL116" s="1">
        <v>31</v>
      </c>
      <c r="AM116" s="1">
        <v>31</v>
      </c>
      <c r="AN116" s="168">
        <f t="shared" si="31"/>
        <v>0</v>
      </c>
      <c r="AO116" s="168">
        <f t="shared" si="32"/>
        <v>0</v>
      </c>
      <c r="AP116" s="168">
        <f t="shared" si="33"/>
        <v>0</v>
      </c>
      <c r="AQ116" s="168">
        <f t="shared" si="34"/>
        <v>0</v>
      </c>
      <c r="AR116" s="168"/>
      <c r="AS116" s="168">
        <f t="shared" si="35"/>
        <v>0</v>
      </c>
      <c r="AT116" s="168"/>
      <c r="AU116" s="168"/>
      <c r="AV116" s="168"/>
      <c r="AW116" s="168">
        <f t="shared" si="36"/>
        <v>0</v>
      </c>
      <c r="AX116" s="168"/>
      <c r="AY116" s="168"/>
      <c r="AZ116" s="168">
        <f t="shared" si="37"/>
        <v>0</v>
      </c>
      <c r="BA116" s="172"/>
      <c r="IH116" s="142"/>
      <c r="II116" s="142"/>
      <c r="IJ116" s="142"/>
      <c r="IK116" s="142"/>
      <c r="IL116" s="142"/>
      <c r="IM116" s="142"/>
      <c r="IN116" s="142"/>
    </row>
    <row r="117" s="135" customFormat="1" ht="12.95" customHeight="1" spans="1:248">
      <c r="A117" s="157">
        <f t="shared" si="38"/>
        <v>112</v>
      </c>
      <c r="B117" s="158" t="s">
        <v>48</v>
      </c>
      <c r="C117" s="159">
        <v>7642909</v>
      </c>
      <c r="D117" s="1" t="s">
        <v>190</v>
      </c>
      <c r="E117" s="1" t="s">
        <v>51</v>
      </c>
      <c r="F117" s="1" t="s">
        <v>52</v>
      </c>
      <c r="G117" s="1" t="s">
        <v>53</v>
      </c>
      <c r="H117" s="1" t="s">
        <v>60</v>
      </c>
      <c r="I117" s="1" t="s">
        <v>34</v>
      </c>
      <c r="J117" s="1" t="s">
        <v>61</v>
      </c>
      <c r="K117" s="1" t="s">
        <v>53</v>
      </c>
      <c r="L117" s="1" t="s">
        <v>60</v>
      </c>
      <c r="M117" s="1" t="s">
        <v>34</v>
      </c>
      <c r="N117" s="1" t="s">
        <v>61</v>
      </c>
      <c r="O117" s="1" t="s">
        <v>53</v>
      </c>
      <c r="P117" s="1" t="s">
        <v>60</v>
      </c>
      <c r="Q117" s="1" t="s">
        <v>34</v>
      </c>
      <c r="R117" s="1" t="s">
        <v>61</v>
      </c>
      <c r="S117" s="1" t="s">
        <v>53</v>
      </c>
      <c r="T117" s="1" t="s">
        <v>60</v>
      </c>
      <c r="U117" s="1" t="s">
        <v>34</v>
      </c>
      <c r="V117" s="1" t="s">
        <v>61</v>
      </c>
      <c r="W117" s="1" t="s">
        <v>53</v>
      </c>
      <c r="X117" s="1" t="s">
        <v>60</v>
      </c>
      <c r="Y117" s="1" t="s">
        <v>61</v>
      </c>
      <c r="Z117" s="1" t="s">
        <v>53</v>
      </c>
      <c r="AA117" s="1" t="s">
        <v>60</v>
      </c>
      <c r="AB117" s="1" t="s">
        <v>34</v>
      </c>
      <c r="AC117" s="1" t="s">
        <v>61</v>
      </c>
      <c r="AD117" s="1" t="s">
        <v>53</v>
      </c>
      <c r="AE117" s="1" t="s">
        <v>60</v>
      </c>
      <c r="AF117" s="1" t="s">
        <v>61</v>
      </c>
      <c r="AG117" s="1" t="s">
        <v>53</v>
      </c>
      <c r="AH117" s="1" t="s">
        <v>60</v>
      </c>
      <c r="AI117" s="1" t="s">
        <v>34</v>
      </c>
      <c r="AJ117" s="1" t="s">
        <v>61</v>
      </c>
      <c r="AK117" s="1" t="s">
        <v>53</v>
      </c>
      <c r="AL117" s="1">
        <v>31</v>
      </c>
      <c r="AM117" s="1">
        <v>31</v>
      </c>
      <c r="AN117" s="168">
        <f t="shared" si="31"/>
        <v>0</v>
      </c>
      <c r="AO117" s="168">
        <f t="shared" si="32"/>
        <v>0</v>
      </c>
      <c r="AP117" s="168">
        <f t="shared" si="33"/>
        <v>0</v>
      </c>
      <c r="AQ117" s="168">
        <f t="shared" si="34"/>
        <v>0</v>
      </c>
      <c r="AR117" s="168"/>
      <c r="AS117" s="168">
        <f t="shared" si="35"/>
        <v>0</v>
      </c>
      <c r="AT117" s="168"/>
      <c r="AU117" s="168"/>
      <c r="AV117" s="168"/>
      <c r="AW117" s="168">
        <f t="shared" si="36"/>
        <v>0</v>
      </c>
      <c r="AX117" s="168"/>
      <c r="AY117" s="168"/>
      <c r="AZ117" s="168">
        <f t="shared" si="37"/>
        <v>0</v>
      </c>
      <c r="BA117" s="172"/>
      <c r="IH117" s="142"/>
      <c r="II117" s="142"/>
      <c r="IJ117" s="142"/>
      <c r="IK117" s="142"/>
      <c r="IL117" s="142"/>
      <c r="IM117" s="142"/>
      <c r="IN117" s="142"/>
    </row>
    <row r="118" s="135" customFormat="1" ht="12.95" customHeight="1" spans="1:248">
      <c r="A118" s="157">
        <f t="shared" si="38"/>
        <v>113</v>
      </c>
      <c r="B118" s="158" t="s">
        <v>48</v>
      </c>
      <c r="C118" s="159">
        <v>7642656</v>
      </c>
      <c r="D118" s="1" t="s">
        <v>191</v>
      </c>
      <c r="E118" s="1" t="s">
        <v>51</v>
      </c>
      <c r="F118" s="1" t="s">
        <v>52</v>
      </c>
      <c r="G118" s="1" t="s">
        <v>34</v>
      </c>
      <c r="H118" s="1" t="s">
        <v>61</v>
      </c>
      <c r="I118" s="1" t="s">
        <v>53</v>
      </c>
      <c r="J118" s="1" t="s">
        <v>60</v>
      </c>
      <c r="K118" s="1" t="s">
        <v>34</v>
      </c>
      <c r="L118" s="1" t="s">
        <v>61</v>
      </c>
      <c r="M118" s="1" t="s">
        <v>53</v>
      </c>
      <c r="N118" s="1" t="s">
        <v>60</v>
      </c>
      <c r="O118" s="1" t="s">
        <v>34</v>
      </c>
      <c r="P118" s="1" t="s">
        <v>61</v>
      </c>
      <c r="Q118" s="1" t="s">
        <v>53</v>
      </c>
      <c r="R118" s="1" t="s">
        <v>60</v>
      </c>
      <c r="S118" s="1" t="s">
        <v>34</v>
      </c>
      <c r="T118" s="1" t="s">
        <v>61</v>
      </c>
      <c r="U118" s="1" t="s">
        <v>53</v>
      </c>
      <c r="V118" s="1" t="s">
        <v>60</v>
      </c>
      <c r="W118" s="1" t="s">
        <v>34</v>
      </c>
      <c r="X118" s="1" t="s">
        <v>61</v>
      </c>
      <c r="Y118" s="1" t="s">
        <v>53</v>
      </c>
      <c r="Z118" s="1" t="s">
        <v>60</v>
      </c>
      <c r="AA118" s="1" t="s">
        <v>34</v>
      </c>
      <c r="AB118" s="1" t="s">
        <v>61</v>
      </c>
      <c r="AC118" s="1" t="s">
        <v>53</v>
      </c>
      <c r="AD118" s="1" t="s">
        <v>60</v>
      </c>
      <c r="AE118" s="1" t="s">
        <v>34</v>
      </c>
      <c r="AF118" s="1" t="s">
        <v>61</v>
      </c>
      <c r="AG118" s="1" t="s">
        <v>53</v>
      </c>
      <c r="AH118" s="1" t="s">
        <v>60</v>
      </c>
      <c r="AI118" s="1" t="s">
        <v>34</v>
      </c>
      <c r="AJ118" s="1" t="s">
        <v>61</v>
      </c>
      <c r="AK118" s="1" t="s">
        <v>53</v>
      </c>
      <c r="AL118" s="1">
        <v>31</v>
      </c>
      <c r="AM118" s="1">
        <v>31</v>
      </c>
      <c r="AN118" s="168">
        <f t="shared" si="31"/>
        <v>0</v>
      </c>
      <c r="AO118" s="168">
        <f t="shared" si="32"/>
        <v>0</v>
      </c>
      <c r="AP118" s="168">
        <f t="shared" si="33"/>
        <v>0</v>
      </c>
      <c r="AQ118" s="168">
        <f t="shared" si="34"/>
        <v>0</v>
      </c>
      <c r="AR118" s="168"/>
      <c r="AS118" s="168">
        <f t="shared" si="35"/>
        <v>0</v>
      </c>
      <c r="AT118" s="168"/>
      <c r="AU118" s="168"/>
      <c r="AV118" s="168"/>
      <c r="AW118" s="168">
        <f t="shared" si="36"/>
        <v>0</v>
      </c>
      <c r="AX118" s="168"/>
      <c r="AY118" s="168"/>
      <c r="AZ118" s="168">
        <f t="shared" si="37"/>
        <v>0</v>
      </c>
      <c r="BA118" s="172"/>
      <c r="IH118" s="142"/>
      <c r="II118" s="142"/>
      <c r="IJ118" s="142"/>
      <c r="IK118" s="142"/>
      <c r="IL118" s="142"/>
      <c r="IM118" s="142"/>
      <c r="IN118" s="142"/>
    </row>
    <row r="119" s="135" customFormat="1" ht="12.95" customHeight="1" spans="1:248">
      <c r="A119" s="157">
        <f t="shared" si="38"/>
        <v>114</v>
      </c>
      <c r="B119" s="158" t="s">
        <v>48</v>
      </c>
      <c r="C119" s="1">
        <v>7642896</v>
      </c>
      <c r="D119" s="1" t="s">
        <v>192</v>
      </c>
      <c r="E119" s="1" t="s">
        <v>51</v>
      </c>
      <c r="F119" s="1" t="s">
        <v>52</v>
      </c>
      <c r="G119" s="1" t="s">
        <v>61</v>
      </c>
      <c r="H119" s="1" t="s">
        <v>53</v>
      </c>
      <c r="I119" s="1" t="s">
        <v>60</v>
      </c>
      <c r="J119" s="1" t="s">
        <v>34</v>
      </c>
      <c r="K119" s="1" t="s">
        <v>61</v>
      </c>
      <c r="L119" s="1" t="s">
        <v>53</v>
      </c>
      <c r="M119" s="1" t="s">
        <v>60</v>
      </c>
      <c r="N119" s="1" t="s">
        <v>34</v>
      </c>
      <c r="O119" s="1" t="s">
        <v>61</v>
      </c>
      <c r="P119" s="1" t="s">
        <v>53</v>
      </c>
      <c r="Q119" s="1" t="s">
        <v>60</v>
      </c>
      <c r="R119" s="1" t="s">
        <v>34</v>
      </c>
      <c r="S119" s="1" t="s">
        <v>61</v>
      </c>
      <c r="T119" s="1" t="s">
        <v>53</v>
      </c>
      <c r="U119" s="1" t="s">
        <v>60</v>
      </c>
      <c r="V119" s="1" t="s">
        <v>34</v>
      </c>
      <c r="W119" s="1" t="s">
        <v>61</v>
      </c>
      <c r="X119" s="1" t="s">
        <v>53</v>
      </c>
      <c r="Y119" s="1" t="s">
        <v>60</v>
      </c>
      <c r="Z119" s="1" t="s">
        <v>34</v>
      </c>
      <c r="AA119" s="1" t="s">
        <v>61</v>
      </c>
      <c r="AB119" s="1" t="s">
        <v>53</v>
      </c>
      <c r="AC119" s="1" t="s">
        <v>60</v>
      </c>
      <c r="AD119" s="1" t="s">
        <v>34</v>
      </c>
      <c r="AE119" s="1" t="s">
        <v>61</v>
      </c>
      <c r="AF119" s="1" t="s">
        <v>53</v>
      </c>
      <c r="AG119" s="1" t="s">
        <v>60</v>
      </c>
      <c r="AH119" s="1" t="s">
        <v>34</v>
      </c>
      <c r="AI119" s="1" t="s">
        <v>61</v>
      </c>
      <c r="AJ119" s="1" t="s">
        <v>53</v>
      </c>
      <c r="AK119" s="1" t="s">
        <v>60</v>
      </c>
      <c r="AL119" s="1">
        <v>31</v>
      </c>
      <c r="AM119" s="1">
        <v>31</v>
      </c>
      <c r="AN119" s="168">
        <f t="shared" si="31"/>
        <v>0</v>
      </c>
      <c r="AO119" s="168">
        <f t="shared" si="32"/>
        <v>0</v>
      </c>
      <c r="AP119" s="168">
        <f t="shared" si="33"/>
        <v>0</v>
      </c>
      <c r="AQ119" s="168">
        <f t="shared" si="34"/>
        <v>0</v>
      </c>
      <c r="AR119" s="168"/>
      <c r="AS119" s="168">
        <f t="shared" si="35"/>
        <v>0</v>
      </c>
      <c r="AT119" s="168"/>
      <c r="AU119" s="168"/>
      <c r="AV119" s="168"/>
      <c r="AW119" s="168">
        <f t="shared" si="36"/>
        <v>0</v>
      </c>
      <c r="AX119" s="168"/>
      <c r="AY119" s="168"/>
      <c r="AZ119" s="168">
        <f t="shared" si="37"/>
        <v>0</v>
      </c>
      <c r="BA119" s="172"/>
      <c r="IH119" s="142"/>
      <c r="II119" s="142"/>
      <c r="IJ119" s="142"/>
      <c r="IK119" s="142"/>
      <c r="IL119" s="142"/>
      <c r="IM119" s="142"/>
      <c r="IN119" s="142"/>
    </row>
    <row r="120" s="135" customFormat="1" ht="12.95" customHeight="1" spans="1:248">
      <c r="A120" s="157">
        <f t="shared" si="38"/>
        <v>115</v>
      </c>
      <c r="B120" s="158" t="s">
        <v>48</v>
      </c>
      <c r="C120" s="1">
        <v>7642880</v>
      </c>
      <c r="D120" s="1" t="s">
        <v>193</v>
      </c>
      <c r="E120" s="1" t="s">
        <v>51</v>
      </c>
      <c r="F120" s="1" t="s">
        <v>52</v>
      </c>
      <c r="G120" s="1" t="s">
        <v>61</v>
      </c>
      <c r="H120" s="1" t="s">
        <v>53</v>
      </c>
      <c r="I120" s="1" t="s">
        <v>60</v>
      </c>
      <c r="J120" s="1" t="s">
        <v>34</v>
      </c>
      <c r="K120" s="1" t="s">
        <v>61</v>
      </c>
      <c r="L120" s="1" t="s">
        <v>53</v>
      </c>
      <c r="M120" s="1" t="s">
        <v>60</v>
      </c>
      <c r="N120" s="1" t="s">
        <v>34</v>
      </c>
      <c r="O120" s="1" t="s">
        <v>61</v>
      </c>
      <c r="P120" s="1" t="s">
        <v>53</v>
      </c>
      <c r="Q120" s="1" t="s">
        <v>60</v>
      </c>
      <c r="R120" s="1" t="s">
        <v>34</v>
      </c>
      <c r="S120" s="1" t="s">
        <v>61</v>
      </c>
      <c r="T120" s="1" t="s">
        <v>53</v>
      </c>
      <c r="U120" s="1" t="s">
        <v>60</v>
      </c>
      <c r="V120" s="1" t="s">
        <v>34</v>
      </c>
      <c r="W120" s="1" t="s">
        <v>56</v>
      </c>
      <c r="X120" s="1" t="s">
        <v>56</v>
      </c>
      <c r="Y120" s="1" t="s">
        <v>34</v>
      </c>
      <c r="Z120" s="1" t="s">
        <v>34</v>
      </c>
      <c r="AA120" s="1" t="s">
        <v>61</v>
      </c>
      <c r="AB120" s="1" t="s">
        <v>53</v>
      </c>
      <c r="AC120" s="1" t="s">
        <v>60</v>
      </c>
      <c r="AD120" s="1" t="s">
        <v>34</v>
      </c>
      <c r="AE120" s="1" t="s">
        <v>61</v>
      </c>
      <c r="AF120" s="1" t="s">
        <v>53</v>
      </c>
      <c r="AG120" s="1" t="s">
        <v>60</v>
      </c>
      <c r="AH120" s="1" t="s">
        <v>34</v>
      </c>
      <c r="AI120" s="1" t="s">
        <v>61</v>
      </c>
      <c r="AJ120" s="1" t="s">
        <v>53</v>
      </c>
      <c r="AK120" s="1" t="s">
        <v>60</v>
      </c>
      <c r="AL120" s="1">
        <v>31</v>
      </c>
      <c r="AM120" s="1">
        <v>29</v>
      </c>
      <c r="AN120" s="168">
        <f t="shared" si="31"/>
        <v>0</v>
      </c>
      <c r="AO120" s="168">
        <f t="shared" si="32"/>
        <v>0</v>
      </c>
      <c r="AP120" s="168">
        <f t="shared" si="33"/>
        <v>0</v>
      </c>
      <c r="AQ120" s="168">
        <f t="shared" si="34"/>
        <v>2</v>
      </c>
      <c r="AR120" s="168"/>
      <c r="AS120" s="168">
        <f t="shared" si="35"/>
        <v>0</v>
      </c>
      <c r="AT120" s="168"/>
      <c r="AU120" s="168"/>
      <c r="AV120" s="168"/>
      <c r="AW120" s="168">
        <f t="shared" si="36"/>
        <v>0</v>
      </c>
      <c r="AX120" s="168"/>
      <c r="AY120" s="168"/>
      <c r="AZ120" s="168">
        <f t="shared" si="37"/>
        <v>2</v>
      </c>
      <c r="BA120" s="172"/>
      <c r="IH120" s="142"/>
      <c r="II120" s="142"/>
      <c r="IJ120" s="142"/>
      <c r="IK120" s="142"/>
      <c r="IL120" s="142"/>
      <c r="IM120" s="142"/>
      <c r="IN120" s="142"/>
    </row>
    <row r="121" s="135" customFormat="1" ht="12.95" customHeight="1" spans="1:248">
      <c r="A121" s="157">
        <f t="shared" si="38"/>
        <v>116</v>
      </c>
      <c r="B121" s="158" t="s">
        <v>48</v>
      </c>
      <c r="C121" s="159">
        <v>7642882</v>
      </c>
      <c r="D121" s="1" t="s">
        <v>194</v>
      </c>
      <c r="E121" s="1" t="s">
        <v>51</v>
      </c>
      <c r="F121" s="1" t="s">
        <v>52</v>
      </c>
      <c r="G121" s="1" t="s">
        <v>34</v>
      </c>
      <c r="H121" s="1" t="s">
        <v>61</v>
      </c>
      <c r="I121" s="1" t="s">
        <v>53</v>
      </c>
      <c r="J121" s="1" t="s">
        <v>60</v>
      </c>
      <c r="K121" s="1" t="s">
        <v>34</v>
      </c>
      <c r="L121" s="1" t="s">
        <v>61</v>
      </c>
      <c r="M121" s="1" t="s">
        <v>53</v>
      </c>
      <c r="N121" s="1" t="s">
        <v>60</v>
      </c>
      <c r="O121" s="1" t="s">
        <v>34</v>
      </c>
      <c r="P121" s="1" t="s">
        <v>61</v>
      </c>
      <c r="Q121" s="1" t="s">
        <v>53</v>
      </c>
      <c r="R121" s="1" t="s">
        <v>60</v>
      </c>
      <c r="S121" s="1" t="s">
        <v>34</v>
      </c>
      <c r="T121" s="1" t="s">
        <v>61</v>
      </c>
      <c r="U121" s="1" t="s">
        <v>53</v>
      </c>
      <c r="V121" s="1" t="s">
        <v>60</v>
      </c>
      <c r="W121" s="1" t="s">
        <v>34</v>
      </c>
      <c r="X121" s="1" t="s">
        <v>61</v>
      </c>
      <c r="Y121" s="1" t="s">
        <v>53</v>
      </c>
      <c r="Z121" s="1" t="s">
        <v>60</v>
      </c>
      <c r="AA121" s="1" t="s">
        <v>34</v>
      </c>
      <c r="AB121" s="1" t="s">
        <v>60</v>
      </c>
      <c r="AC121" s="1" t="s">
        <v>61</v>
      </c>
      <c r="AD121" s="1" t="s">
        <v>53</v>
      </c>
      <c r="AE121" s="1" t="s">
        <v>60</v>
      </c>
      <c r="AF121" s="1" t="s">
        <v>34</v>
      </c>
      <c r="AG121" s="1" t="s">
        <v>61</v>
      </c>
      <c r="AH121" s="1" t="s">
        <v>53</v>
      </c>
      <c r="AI121" s="1" t="s">
        <v>60</v>
      </c>
      <c r="AJ121" s="1" t="s">
        <v>34</v>
      </c>
      <c r="AK121" s="1" t="s">
        <v>61</v>
      </c>
      <c r="AL121" s="1">
        <v>31</v>
      </c>
      <c r="AM121" s="1">
        <v>31</v>
      </c>
      <c r="AN121" s="168">
        <f t="shared" si="31"/>
        <v>0</v>
      </c>
      <c r="AO121" s="168">
        <f t="shared" si="32"/>
        <v>0</v>
      </c>
      <c r="AP121" s="168">
        <f t="shared" si="33"/>
        <v>0</v>
      </c>
      <c r="AQ121" s="168">
        <f t="shared" si="34"/>
        <v>0</v>
      </c>
      <c r="AR121" s="168"/>
      <c r="AS121" s="168">
        <f t="shared" si="35"/>
        <v>0</v>
      </c>
      <c r="AT121" s="168"/>
      <c r="AU121" s="168"/>
      <c r="AV121" s="168"/>
      <c r="AW121" s="168">
        <f t="shared" si="36"/>
        <v>0</v>
      </c>
      <c r="AX121" s="168"/>
      <c r="AY121" s="168"/>
      <c r="AZ121" s="168">
        <f t="shared" si="37"/>
        <v>0</v>
      </c>
      <c r="BA121" s="172"/>
      <c r="IH121" s="142"/>
      <c r="II121" s="142"/>
      <c r="IJ121" s="142"/>
      <c r="IK121" s="142"/>
      <c r="IL121" s="142"/>
      <c r="IM121" s="142"/>
      <c r="IN121" s="142"/>
    </row>
    <row r="122" s="135" customFormat="1" ht="12.95" customHeight="1" spans="1:248">
      <c r="A122" s="157">
        <f t="shared" ref="A122:A131" si="39">ROW()-5</f>
        <v>117</v>
      </c>
      <c r="B122" s="158" t="s">
        <v>48</v>
      </c>
      <c r="C122" s="159">
        <v>7643035</v>
      </c>
      <c r="D122" s="1" t="s">
        <v>195</v>
      </c>
      <c r="E122" s="1" t="s">
        <v>51</v>
      </c>
      <c r="F122" s="1" t="s">
        <v>52</v>
      </c>
      <c r="G122" s="1" t="s">
        <v>53</v>
      </c>
      <c r="H122" s="1" t="s">
        <v>60</v>
      </c>
      <c r="I122" s="1" t="s">
        <v>34</v>
      </c>
      <c r="J122" s="1" t="s">
        <v>61</v>
      </c>
      <c r="K122" s="1" t="s">
        <v>53</v>
      </c>
      <c r="L122" s="1" t="s">
        <v>60</v>
      </c>
      <c r="M122" s="1" t="s">
        <v>34</v>
      </c>
      <c r="N122" s="1" t="s">
        <v>61</v>
      </c>
      <c r="O122" s="1" t="s">
        <v>53</v>
      </c>
      <c r="P122" s="1" t="s">
        <v>60</v>
      </c>
      <c r="Q122" s="1" t="s">
        <v>34</v>
      </c>
      <c r="R122" s="1" t="s">
        <v>61</v>
      </c>
      <c r="S122" s="1" t="s">
        <v>53</v>
      </c>
      <c r="T122" s="1" t="s">
        <v>60</v>
      </c>
      <c r="U122" s="1" t="s">
        <v>34</v>
      </c>
      <c r="V122" s="1" t="s">
        <v>61</v>
      </c>
      <c r="W122" s="1" t="s">
        <v>53</v>
      </c>
      <c r="X122" s="1" t="s">
        <v>60</v>
      </c>
      <c r="Y122" s="1" t="s">
        <v>34</v>
      </c>
      <c r="Z122" s="1" t="s">
        <v>61</v>
      </c>
      <c r="AA122" s="1" t="s">
        <v>53</v>
      </c>
      <c r="AB122" s="1" t="s">
        <v>60</v>
      </c>
      <c r="AC122" s="1" t="s">
        <v>34</v>
      </c>
      <c r="AD122" s="1" t="s">
        <v>61</v>
      </c>
      <c r="AE122" s="1" t="s">
        <v>53</v>
      </c>
      <c r="AF122" s="1" t="s">
        <v>60</v>
      </c>
      <c r="AG122" s="1" t="s">
        <v>34</v>
      </c>
      <c r="AH122" s="1" t="s">
        <v>61</v>
      </c>
      <c r="AI122" s="1" t="s">
        <v>53</v>
      </c>
      <c r="AJ122" s="1" t="s">
        <v>60</v>
      </c>
      <c r="AK122" s="1" t="s">
        <v>34</v>
      </c>
      <c r="AL122" s="1">
        <v>31</v>
      </c>
      <c r="AM122" s="1">
        <v>31</v>
      </c>
      <c r="AN122" s="168">
        <f t="shared" si="31"/>
        <v>0</v>
      </c>
      <c r="AO122" s="168">
        <f t="shared" si="32"/>
        <v>0</v>
      </c>
      <c r="AP122" s="168">
        <f t="shared" si="33"/>
        <v>0</v>
      </c>
      <c r="AQ122" s="168">
        <f t="shared" si="34"/>
        <v>0</v>
      </c>
      <c r="AR122" s="168"/>
      <c r="AS122" s="168">
        <f t="shared" si="35"/>
        <v>0</v>
      </c>
      <c r="AT122" s="168"/>
      <c r="AU122" s="168"/>
      <c r="AV122" s="168"/>
      <c r="AW122" s="168">
        <f t="shared" si="36"/>
        <v>0</v>
      </c>
      <c r="AX122" s="168"/>
      <c r="AY122" s="168"/>
      <c r="AZ122" s="168">
        <f t="shared" si="37"/>
        <v>0</v>
      </c>
      <c r="BA122" s="172"/>
      <c r="IH122" s="142"/>
      <c r="II122" s="142"/>
      <c r="IJ122" s="142"/>
      <c r="IK122" s="142"/>
      <c r="IL122" s="142"/>
      <c r="IM122" s="142"/>
      <c r="IN122" s="142"/>
    </row>
    <row r="123" s="135" customFormat="1" ht="12.95" customHeight="1" spans="1:248">
      <c r="A123" s="157">
        <f t="shared" si="39"/>
        <v>118</v>
      </c>
      <c r="B123" s="158" t="s">
        <v>48</v>
      </c>
      <c r="C123" s="159">
        <v>7610561</v>
      </c>
      <c r="D123" s="1" t="s">
        <v>196</v>
      </c>
      <c r="E123" s="1" t="s">
        <v>59</v>
      </c>
      <c r="F123" s="1" t="s">
        <v>52</v>
      </c>
      <c r="G123" s="1" t="s">
        <v>53</v>
      </c>
      <c r="H123" s="1" t="s">
        <v>60</v>
      </c>
      <c r="I123" s="1" t="s">
        <v>34</v>
      </c>
      <c r="J123" s="1" t="s">
        <v>61</v>
      </c>
      <c r="K123" s="1" t="s">
        <v>53</v>
      </c>
      <c r="L123" s="1" t="s">
        <v>60</v>
      </c>
      <c r="M123" s="1" t="s">
        <v>34</v>
      </c>
      <c r="N123" s="1" t="s">
        <v>61</v>
      </c>
      <c r="O123" s="1" t="s">
        <v>53</v>
      </c>
      <c r="P123" s="1" t="s">
        <v>60</v>
      </c>
      <c r="Q123" s="1" t="s">
        <v>34</v>
      </c>
      <c r="R123" s="1" t="s">
        <v>61</v>
      </c>
      <c r="S123" s="1" t="s">
        <v>53</v>
      </c>
      <c r="T123" s="1" t="s">
        <v>60</v>
      </c>
      <c r="U123" s="1" t="s">
        <v>34</v>
      </c>
      <c r="V123" s="1" t="s">
        <v>61</v>
      </c>
      <c r="W123" s="1" t="s">
        <v>53</v>
      </c>
      <c r="X123" s="1" t="s">
        <v>60</v>
      </c>
      <c r="Y123" s="1" t="s">
        <v>34</v>
      </c>
      <c r="Z123" s="1" t="s">
        <v>61</v>
      </c>
      <c r="AA123" s="1" t="s">
        <v>53</v>
      </c>
      <c r="AB123" s="1" t="s">
        <v>60</v>
      </c>
      <c r="AC123" s="1" t="s">
        <v>34</v>
      </c>
      <c r="AD123" s="1" t="s">
        <v>61</v>
      </c>
      <c r="AE123" s="1" t="s">
        <v>53</v>
      </c>
      <c r="AF123" s="1" t="s">
        <v>60</v>
      </c>
      <c r="AG123" s="1" t="s">
        <v>34</v>
      </c>
      <c r="AH123" s="1" t="s">
        <v>61</v>
      </c>
      <c r="AI123" s="1" t="s">
        <v>53</v>
      </c>
      <c r="AJ123" s="1" t="s">
        <v>60</v>
      </c>
      <c r="AK123" s="1" t="s">
        <v>34</v>
      </c>
      <c r="AL123" s="1">
        <v>31</v>
      </c>
      <c r="AM123" s="1">
        <v>31</v>
      </c>
      <c r="AN123" s="168">
        <f t="shared" si="31"/>
        <v>0</v>
      </c>
      <c r="AO123" s="168">
        <f t="shared" si="32"/>
        <v>0</v>
      </c>
      <c r="AP123" s="168">
        <f t="shared" si="33"/>
        <v>0</v>
      </c>
      <c r="AQ123" s="168">
        <f t="shared" si="34"/>
        <v>0</v>
      </c>
      <c r="AR123" s="168"/>
      <c r="AS123" s="168">
        <f t="shared" si="35"/>
        <v>0</v>
      </c>
      <c r="AT123" s="168"/>
      <c r="AU123" s="168"/>
      <c r="AV123" s="168"/>
      <c r="AW123" s="168">
        <f t="shared" si="36"/>
        <v>0</v>
      </c>
      <c r="AX123" s="168"/>
      <c r="AY123" s="168"/>
      <c r="AZ123" s="168">
        <f t="shared" si="37"/>
        <v>0</v>
      </c>
      <c r="BA123" s="172"/>
      <c r="IH123" s="142"/>
      <c r="II123" s="142"/>
      <c r="IJ123" s="142"/>
      <c r="IK123" s="142"/>
      <c r="IL123" s="142"/>
      <c r="IM123" s="142"/>
      <c r="IN123" s="142"/>
    </row>
    <row r="124" s="135" customFormat="1" ht="12.95" customHeight="1" spans="1:248">
      <c r="A124" s="157">
        <f t="shared" si="39"/>
        <v>119</v>
      </c>
      <c r="B124" s="158" t="s">
        <v>48</v>
      </c>
      <c r="C124" s="1">
        <v>7612666</v>
      </c>
      <c r="D124" s="1" t="s">
        <v>197</v>
      </c>
      <c r="E124" s="1" t="s">
        <v>59</v>
      </c>
      <c r="F124" s="1" t="s">
        <v>52</v>
      </c>
      <c r="G124" s="1" t="s">
        <v>34</v>
      </c>
      <c r="H124" s="1" t="s">
        <v>53</v>
      </c>
      <c r="I124" s="1" t="s">
        <v>60</v>
      </c>
      <c r="J124" s="1" t="s">
        <v>34</v>
      </c>
      <c r="K124" s="1" t="s">
        <v>61</v>
      </c>
      <c r="L124" s="1" t="s">
        <v>53</v>
      </c>
      <c r="M124" s="1" t="s">
        <v>60</v>
      </c>
      <c r="N124" s="1" t="s">
        <v>34</v>
      </c>
      <c r="O124" s="1" t="s">
        <v>61</v>
      </c>
      <c r="P124" s="1" t="s">
        <v>53</v>
      </c>
      <c r="Q124" s="1" t="s">
        <v>60</v>
      </c>
      <c r="R124" s="1" t="s">
        <v>34</v>
      </c>
      <c r="S124" s="1" t="s">
        <v>61</v>
      </c>
      <c r="T124" s="1" t="s">
        <v>53</v>
      </c>
      <c r="U124" s="1" t="s">
        <v>60</v>
      </c>
      <c r="V124" s="1" t="s">
        <v>34</v>
      </c>
      <c r="W124" s="1" t="s">
        <v>61</v>
      </c>
      <c r="X124" s="1" t="s">
        <v>53</v>
      </c>
      <c r="Y124" s="1" t="s">
        <v>60</v>
      </c>
      <c r="Z124" s="1" t="s">
        <v>34</v>
      </c>
      <c r="AA124" s="1" t="s">
        <v>61</v>
      </c>
      <c r="AB124" s="1" t="s">
        <v>53</v>
      </c>
      <c r="AC124" s="1" t="s">
        <v>60</v>
      </c>
      <c r="AD124" s="1" t="s">
        <v>34</v>
      </c>
      <c r="AE124" s="1" t="s">
        <v>61</v>
      </c>
      <c r="AF124" s="1" t="s">
        <v>53</v>
      </c>
      <c r="AG124" s="1" t="s">
        <v>60</v>
      </c>
      <c r="AH124" s="1" t="s">
        <v>34</v>
      </c>
      <c r="AI124" s="1" t="s">
        <v>61</v>
      </c>
      <c r="AJ124" s="1" t="s">
        <v>53</v>
      </c>
      <c r="AK124" s="1" t="s">
        <v>60</v>
      </c>
      <c r="AL124" s="1">
        <v>31</v>
      </c>
      <c r="AM124" s="1">
        <v>31</v>
      </c>
      <c r="AN124" s="168">
        <f t="shared" si="31"/>
        <v>0</v>
      </c>
      <c r="AO124" s="168">
        <f t="shared" si="32"/>
        <v>0</v>
      </c>
      <c r="AP124" s="168">
        <f t="shared" si="33"/>
        <v>0</v>
      </c>
      <c r="AQ124" s="168">
        <f t="shared" si="34"/>
        <v>0</v>
      </c>
      <c r="AR124" s="168"/>
      <c r="AS124" s="168">
        <f t="shared" si="35"/>
        <v>0</v>
      </c>
      <c r="AT124" s="168"/>
      <c r="AU124" s="168"/>
      <c r="AV124" s="168"/>
      <c r="AW124" s="168">
        <f t="shared" si="36"/>
        <v>0</v>
      </c>
      <c r="AX124" s="168"/>
      <c r="AY124" s="168"/>
      <c r="AZ124" s="168">
        <f t="shared" si="37"/>
        <v>0</v>
      </c>
      <c r="BA124" s="172"/>
      <c r="IH124" s="142"/>
      <c r="II124" s="142"/>
      <c r="IJ124" s="142"/>
      <c r="IK124" s="142"/>
      <c r="IL124" s="142"/>
      <c r="IM124" s="142"/>
      <c r="IN124" s="142"/>
    </row>
    <row r="125" s="135" customFormat="1" ht="12.95" customHeight="1" spans="1:248">
      <c r="A125" s="157">
        <f t="shared" si="39"/>
        <v>120</v>
      </c>
      <c r="B125" s="158" t="s">
        <v>48</v>
      </c>
      <c r="C125" s="1">
        <v>7642891</v>
      </c>
      <c r="D125" s="1" t="s">
        <v>198</v>
      </c>
      <c r="E125" s="1" t="s">
        <v>59</v>
      </c>
      <c r="F125" s="1" t="s">
        <v>52</v>
      </c>
      <c r="G125" s="1" t="s">
        <v>61</v>
      </c>
      <c r="H125" s="160" t="s">
        <v>34</v>
      </c>
      <c r="I125" s="1" t="s">
        <v>61</v>
      </c>
      <c r="J125" s="1" t="s">
        <v>53</v>
      </c>
      <c r="K125" s="1" t="s">
        <v>60</v>
      </c>
      <c r="L125" s="1" t="s">
        <v>34</v>
      </c>
      <c r="M125" s="1" t="s">
        <v>61</v>
      </c>
      <c r="N125" s="1" t="s">
        <v>53</v>
      </c>
      <c r="O125" s="1" t="s">
        <v>60</v>
      </c>
      <c r="P125" s="1" t="s">
        <v>34</v>
      </c>
      <c r="Q125" s="1" t="s">
        <v>61</v>
      </c>
      <c r="R125" s="1" t="s">
        <v>53</v>
      </c>
      <c r="S125" s="1" t="s">
        <v>60</v>
      </c>
      <c r="T125" s="1" t="s">
        <v>34</v>
      </c>
      <c r="U125" s="1" t="s">
        <v>61</v>
      </c>
      <c r="V125" s="1" t="s">
        <v>53</v>
      </c>
      <c r="W125" s="1" t="s">
        <v>60</v>
      </c>
      <c r="X125" s="1" t="s">
        <v>34</v>
      </c>
      <c r="Y125" s="1" t="s">
        <v>61</v>
      </c>
      <c r="Z125" s="1" t="s">
        <v>53</v>
      </c>
      <c r="AA125" s="1" t="s">
        <v>60</v>
      </c>
      <c r="AB125" s="1" t="s">
        <v>34</v>
      </c>
      <c r="AC125" s="1" t="s">
        <v>61</v>
      </c>
      <c r="AD125" s="1" t="s">
        <v>53</v>
      </c>
      <c r="AE125" s="1" t="s">
        <v>60</v>
      </c>
      <c r="AF125" s="1" t="s">
        <v>34</v>
      </c>
      <c r="AG125" s="1" t="s">
        <v>61</v>
      </c>
      <c r="AH125" s="1" t="s">
        <v>53</v>
      </c>
      <c r="AI125" s="1" t="s">
        <v>60</v>
      </c>
      <c r="AJ125" s="1" t="s">
        <v>34</v>
      </c>
      <c r="AK125" s="1" t="s">
        <v>61</v>
      </c>
      <c r="AL125" s="1">
        <v>31</v>
      </c>
      <c r="AM125" s="1">
        <v>31</v>
      </c>
      <c r="AN125" s="168">
        <f t="shared" si="31"/>
        <v>0</v>
      </c>
      <c r="AO125" s="168">
        <f t="shared" si="32"/>
        <v>0</v>
      </c>
      <c r="AP125" s="168">
        <f t="shared" si="33"/>
        <v>0</v>
      </c>
      <c r="AQ125" s="168">
        <f t="shared" si="34"/>
        <v>0</v>
      </c>
      <c r="AR125" s="168"/>
      <c r="AS125" s="168">
        <f t="shared" si="35"/>
        <v>0</v>
      </c>
      <c r="AT125" s="168"/>
      <c r="AU125" s="168"/>
      <c r="AV125" s="168"/>
      <c r="AW125" s="168">
        <f t="shared" si="36"/>
        <v>0</v>
      </c>
      <c r="AX125" s="168"/>
      <c r="AY125" s="168"/>
      <c r="AZ125" s="168">
        <f t="shared" si="37"/>
        <v>0</v>
      </c>
      <c r="BA125" s="172"/>
      <c r="IH125" s="142"/>
      <c r="II125" s="142"/>
      <c r="IJ125" s="142"/>
      <c r="IK125" s="142"/>
      <c r="IL125" s="142"/>
      <c r="IM125" s="142"/>
      <c r="IN125" s="142"/>
    </row>
    <row r="126" s="135" customFormat="1" ht="12.95" customHeight="1" spans="1:248">
      <c r="A126" s="157">
        <f t="shared" si="39"/>
        <v>121</v>
      </c>
      <c r="B126" s="158" t="s">
        <v>48</v>
      </c>
      <c r="C126" s="1">
        <v>7642894</v>
      </c>
      <c r="D126" s="1" t="s">
        <v>199</v>
      </c>
      <c r="E126" s="1" t="s">
        <v>65</v>
      </c>
      <c r="F126" s="1" t="s">
        <v>52</v>
      </c>
      <c r="G126" s="1" t="s">
        <v>61</v>
      </c>
      <c r="H126" s="1" t="s">
        <v>53</v>
      </c>
      <c r="I126" s="1" t="s">
        <v>60</v>
      </c>
      <c r="J126" s="1" t="s">
        <v>34</v>
      </c>
      <c r="K126" s="1" t="s">
        <v>33</v>
      </c>
      <c r="L126" s="1" t="s">
        <v>34</v>
      </c>
      <c r="M126" s="1" t="s">
        <v>33</v>
      </c>
      <c r="N126" s="1" t="s">
        <v>33</v>
      </c>
      <c r="O126" s="1" t="s">
        <v>33</v>
      </c>
      <c r="P126" s="1" t="s">
        <v>33</v>
      </c>
      <c r="Q126" s="1" t="s">
        <v>33</v>
      </c>
      <c r="R126" s="1" t="s">
        <v>33</v>
      </c>
      <c r="S126" s="1" t="s">
        <v>34</v>
      </c>
      <c r="T126" s="1" t="s">
        <v>33</v>
      </c>
      <c r="U126" s="1" t="s">
        <v>33</v>
      </c>
      <c r="V126" s="1" t="s">
        <v>33</v>
      </c>
      <c r="W126" s="1" t="s">
        <v>33</v>
      </c>
      <c r="X126" s="1" t="s">
        <v>33</v>
      </c>
      <c r="Y126" s="1" t="s">
        <v>34</v>
      </c>
      <c r="Z126" s="1" t="s">
        <v>34</v>
      </c>
      <c r="AA126" s="1" t="s">
        <v>33</v>
      </c>
      <c r="AB126" s="1" t="s">
        <v>33</v>
      </c>
      <c r="AC126" s="1" t="s">
        <v>33</v>
      </c>
      <c r="AD126" s="1" t="s">
        <v>33</v>
      </c>
      <c r="AE126" s="1" t="s">
        <v>33</v>
      </c>
      <c r="AF126" s="1" t="s">
        <v>34</v>
      </c>
      <c r="AG126" s="1" t="s">
        <v>34</v>
      </c>
      <c r="AH126" s="1" t="s">
        <v>78</v>
      </c>
      <c r="AI126" s="1" t="s">
        <v>78</v>
      </c>
      <c r="AJ126" s="1" t="s">
        <v>78</v>
      </c>
      <c r="AK126" s="1" t="s">
        <v>78</v>
      </c>
      <c r="AL126" s="1">
        <v>31</v>
      </c>
      <c r="AM126" s="1">
        <v>31</v>
      </c>
      <c r="AN126" s="168">
        <f t="shared" si="31"/>
        <v>0</v>
      </c>
      <c r="AO126" s="168">
        <f t="shared" si="32"/>
        <v>0</v>
      </c>
      <c r="AP126" s="168">
        <f t="shared" si="33"/>
        <v>0</v>
      </c>
      <c r="AQ126" s="168">
        <f t="shared" si="34"/>
        <v>0</v>
      </c>
      <c r="AR126" s="168"/>
      <c r="AS126" s="168">
        <f t="shared" si="35"/>
        <v>0</v>
      </c>
      <c r="AT126" s="168"/>
      <c r="AU126" s="168"/>
      <c r="AV126" s="168"/>
      <c r="AW126" s="168">
        <f t="shared" si="36"/>
        <v>4</v>
      </c>
      <c r="AX126" s="168"/>
      <c r="AY126" s="168"/>
      <c r="AZ126" s="168">
        <f t="shared" si="37"/>
        <v>0</v>
      </c>
      <c r="BA126" s="172"/>
      <c r="IH126" s="142"/>
      <c r="II126" s="142"/>
      <c r="IJ126" s="142"/>
      <c r="IK126" s="142"/>
      <c r="IL126" s="142"/>
      <c r="IM126" s="142"/>
      <c r="IN126" s="142"/>
    </row>
    <row r="127" s="135" customFormat="1" ht="12.95" customHeight="1" spans="1:248">
      <c r="A127" s="157">
        <f t="shared" si="39"/>
        <v>122</v>
      </c>
      <c r="B127" s="164" t="s">
        <v>48</v>
      </c>
      <c r="C127" s="1">
        <v>7642900</v>
      </c>
      <c r="D127" s="1" t="s">
        <v>200</v>
      </c>
      <c r="E127" s="1" t="s">
        <v>51</v>
      </c>
      <c r="F127" s="1" t="s">
        <v>52</v>
      </c>
      <c r="G127" s="1" t="s">
        <v>53</v>
      </c>
      <c r="H127" s="1" t="s">
        <v>60</v>
      </c>
      <c r="I127" s="1" t="s">
        <v>34</v>
      </c>
      <c r="J127" s="1" t="s">
        <v>61</v>
      </c>
      <c r="K127" s="1" t="s">
        <v>53</v>
      </c>
      <c r="L127" s="1" t="s">
        <v>60</v>
      </c>
      <c r="M127" s="1" t="s">
        <v>34</v>
      </c>
      <c r="N127" s="1" t="s">
        <v>61</v>
      </c>
      <c r="O127" s="1" t="s">
        <v>53</v>
      </c>
      <c r="P127" s="1" t="s">
        <v>60</v>
      </c>
      <c r="Q127" s="1" t="s">
        <v>34</v>
      </c>
      <c r="R127" s="1" t="s">
        <v>61</v>
      </c>
      <c r="S127" s="1" t="s">
        <v>53</v>
      </c>
      <c r="T127" s="1" t="s">
        <v>60</v>
      </c>
      <c r="U127" s="1" t="s">
        <v>34</v>
      </c>
      <c r="V127" s="1" t="s">
        <v>61</v>
      </c>
      <c r="W127" s="1" t="s">
        <v>53</v>
      </c>
      <c r="X127" s="1" t="s">
        <v>60</v>
      </c>
      <c r="Y127" s="1" t="s">
        <v>34</v>
      </c>
      <c r="Z127" s="1" t="s">
        <v>61</v>
      </c>
      <c r="AA127" s="1" t="s">
        <v>53</v>
      </c>
      <c r="AB127" s="1" t="s">
        <v>60</v>
      </c>
      <c r="AC127" s="1" t="s">
        <v>34</v>
      </c>
      <c r="AD127" s="1" t="s">
        <v>61</v>
      </c>
      <c r="AE127" s="1" t="s">
        <v>53</v>
      </c>
      <c r="AF127" s="1" t="s">
        <v>60</v>
      </c>
      <c r="AG127" s="1" t="s">
        <v>34</v>
      </c>
      <c r="AH127" s="1" t="s">
        <v>61</v>
      </c>
      <c r="AI127" s="1" t="s">
        <v>53</v>
      </c>
      <c r="AJ127" s="1" t="s">
        <v>60</v>
      </c>
      <c r="AK127" s="1" t="s">
        <v>34</v>
      </c>
      <c r="AL127" s="1">
        <v>31</v>
      </c>
      <c r="AM127" s="1">
        <v>31</v>
      </c>
      <c r="AN127" s="168">
        <f t="shared" si="31"/>
        <v>0</v>
      </c>
      <c r="AO127" s="168">
        <f t="shared" si="32"/>
        <v>0</v>
      </c>
      <c r="AP127" s="168">
        <f t="shared" si="33"/>
        <v>0</v>
      </c>
      <c r="AQ127" s="168">
        <f t="shared" si="34"/>
        <v>0</v>
      </c>
      <c r="AR127" s="168"/>
      <c r="AS127" s="168">
        <f t="shared" si="35"/>
        <v>0</v>
      </c>
      <c r="AT127" s="168"/>
      <c r="AU127" s="168"/>
      <c r="AV127" s="168"/>
      <c r="AW127" s="168">
        <f t="shared" si="36"/>
        <v>0</v>
      </c>
      <c r="AX127" s="168"/>
      <c r="AY127" s="168"/>
      <c r="AZ127" s="168">
        <f t="shared" si="37"/>
        <v>0</v>
      </c>
      <c r="BA127" s="172"/>
      <c r="IH127" s="142"/>
      <c r="II127" s="142"/>
      <c r="IJ127" s="142"/>
      <c r="IK127" s="142"/>
      <c r="IL127" s="142"/>
      <c r="IM127" s="142"/>
      <c r="IN127" s="142"/>
    </row>
    <row r="128" s="135" customFormat="1" ht="12.95" customHeight="1" spans="1:248">
      <c r="A128" s="157">
        <f t="shared" si="39"/>
        <v>123</v>
      </c>
      <c r="B128" s="158" t="s">
        <v>48</v>
      </c>
      <c r="C128" s="159">
        <v>7642886</v>
      </c>
      <c r="D128" s="1" t="s">
        <v>201</v>
      </c>
      <c r="E128" s="1" t="s">
        <v>51</v>
      </c>
      <c r="F128" s="1" t="s">
        <v>52</v>
      </c>
      <c r="G128" s="1" t="s">
        <v>61</v>
      </c>
      <c r="H128" s="1" t="s">
        <v>53</v>
      </c>
      <c r="I128" s="1" t="s">
        <v>60</v>
      </c>
      <c r="J128" s="1" t="s">
        <v>34</v>
      </c>
      <c r="K128" s="1" t="s">
        <v>61</v>
      </c>
      <c r="L128" s="1" t="s">
        <v>53</v>
      </c>
      <c r="M128" s="1" t="s">
        <v>60</v>
      </c>
      <c r="N128" s="1" t="s">
        <v>34</v>
      </c>
      <c r="O128" s="1" t="s">
        <v>61</v>
      </c>
      <c r="P128" s="1" t="s">
        <v>53</v>
      </c>
      <c r="Q128" s="1" t="s">
        <v>60</v>
      </c>
      <c r="R128" s="1" t="s">
        <v>34</v>
      </c>
      <c r="S128" s="1" t="s">
        <v>61</v>
      </c>
      <c r="T128" s="1" t="s">
        <v>53</v>
      </c>
      <c r="U128" s="1" t="s">
        <v>60</v>
      </c>
      <c r="V128" s="1" t="s">
        <v>34</v>
      </c>
      <c r="W128" s="1" t="s">
        <v>61</v>
      </c>
      <c r="X128" s="1" t="s">
        <v>53</v>
      </c>
      <c r="Y128" s="1" t="s">
        <v>60</v>
      </c>
      <c r="Z128" s="1" t="s">
        <v>34</v>
      </c>
      <c r="AA128" s="1" t="s">
        <v>61</v>
      </c>
      <c r="AB128" s="1" t="s">
        <v>53</v>
      </c>
      <c r="AC128" s="1" t="s">
        <v>60</v>
      </c>
      <c r="AD128" s="1" t="s">
        <v>34</v>
      </c>
      <c r="AE128" s="1" t="s">
        <v>61</v>
      </c>
      <c r="AF128" s="1" t="s">
        <v>53</v>
      </c>
      <c r="AG128" s="1" t="s">
        <v>60</v>
      </c>
      <c r="AH128" s="1" t="s">
        <v>34</v>
      </c>
      <c r="AI128" s="1" t="s">
        <v>61</v>
      </c>
      <c r="AJ128" s="1" t="s">
        <v>53</v>
      </c>
      <c r="AK128" s="1" t="s">
        <v>60</v>
      </c>
      <c r="AL128" s="1">
        <v>31</v>
      </c>
      <c r="AM128" s="1">
        <v>31</v>
      </c>
      <c r="AN128" s="168">
        <f t="shared" si="31"/>
        <v>0</v>
      </c>
      <c r="AO128" s="168">
        <f t="shared" si="32"/>
        <v>0</v>
      </c>
      <c r="AP128" s="168">
        <f t="shared" si="33"/>
        <v>0</v>
      </c>
      <c r="AQ128" s="168">
        <f t="shared" si="34"/>
        <v>0</v>
      </c>
      <c r="AR128" s="168"/>
      <c r="AS128" s="168">
        <f t="shared" si="35"/>
        <v>0</v>
      </c>
      <c r="AT128" s="168"/>
      <c r="AU128" s="168"/>
      <c r="AV128" s="168"/>
      <c r="AW128" s="168">
        <f t="shared" si="36"/>
        <v>0</v>
      </c>
      <c r="AX128" s="168"/>
      <c r="AY128" s="168"/>
      <c r="AZ128" s="168">
        <f t="shared" si="37"/>
        <v>0</v>
      </c>
      <c r="BA128" s="172"/>
      <c r="IH128" s="142"/>
      <c r="II128" s="142"/>
      <c r="IJ128" s="142"/>
      <c r="IK128" s="142"/>
      <c r="IL128" s="142"/>
      <c r="IM128" s="142"/>
      <c r="IN128" s="142"/>
    </row>
    <row r="129" s="135" customFormat="1" ht="12.95" customHeight="1" spans="1:248">
      <c r="A129" s="157">
        <f t="shared" si="39"/>
        <v>124</v>
      </c>
      <c r="B129" s="158" t="s">
        <v>48</v>
      </c>
      <c r="C129" s="1">
        <v>7612653</v>
      </c>
      <c r="D129" s="1" t="s">
        <v>202</v>
      </c>
      <c r="E129" s="1" t="s">
        <v>59</v>
      </c>
      <c r="F129" s="1" t="s">
        <v>52</v>
      </c>
      <c r="G129" s="1" t="s">
        <v>61</v>
      </c>
      <c r="H129" s="1" t="s">
        <v>53</v>
      </c>
      <c r="I129" s="1" t="s">
        <v>60</v>
      </c>
      <c r="J129" s="1" t="s">
        <v>34</v>
      </c>
      <c r="K129" s="1" t="s">
        <v>61</v>
      </c>
      <c r="L129" s="1" t="s">
        <v>53</v>
      </c>
      <c r="M129" s="1" t="s">
        <v>60</v>
      </c>
      <c r="N129" s="165" t="s">
        <v>43</v>
      </c>
      <c r="O129" s="165" t="s">
        <v>43</v>
      </c>
      <c r="P129" s="165" t="s">
        <v>43</v>
      </c>
      <c r="Q129" s="165" t="s">
        <v>43</v>
      </c>
      <c r="R129" s="165" t="s">
        <v>43</v>
      </c>
      <c r="S129" s="165" t="s">
        <v>43</v>
      </c>
      <c r="T129" s="165" t="s">
        <v>43</v>
      </c>
      <c r="U129" s="165" t="s">
        <v>43</v>
      </c>
      <c r="V129" s="1" t="s">
        <v>34</v>
      </c>
      <c r="W129" s="1" t="s">
        <v>61</v>
      </c>
      <c r="X129" s="1" t="s">
        <v>53</v>
      </c>
      <c r="Y129" s="1" t="s">
        <v>60</v>
      </c>
      <c r="Z129" s="1" t="s">
        <v>34</v>
      </c>
      <c r="AA129" s="1" t="s">
        <v>34</v>
      </c>
      <c r="AB129" s="165" t="s">
        <v>43</v>
      </c>
      <c r="AC129" s="165" t="s">
        <v>43</v>
      </c>
      <c r="AD129" s="1" t="s">
        <v>34</v>
      </c>
      <c r="AE129" s="1" t="s">
        <v>61</v>
      </c>
      <c r="AF129" s="1" t="s">
        <v>53</v>
      </c>
      <c r="AG129" s="1" t="s">
        <v>60</v>
      </c>
      <c r="AH129" s="1" t="s">
        <v>34</v>
      </c>
      <c r="AI129" s="1" t="s">
        <v>61</v>
      </c>
      <c r="AJ129" s="1" t="s">
        <v>53</v>
      </c>
      <c r="AK129" s="1" t="s">
        <v>60</v>
      </c>
      <c r="AL129" s="1">
        <v>31</v>
      </c>
      <c r="AM129" s="1">
        <v>31</v>
      </c>
      <c r="AN129" s="168">
        <f t="shared" si="31"/>
        <v>0</v>
      </c>
      <c r="AO129" s="168">
        <f t="shared" si="32"/>
        <v>0</v>
      </c>
      <c r="AP129" s="168">
        <f t="shared" si="33"/>
        <v>0</v>
      </c>
      <c r="AQ129" s="168">
        <f t="shared" si="34"/>
        <v>0</v>
      </c>
      <c r="AR129" s="168"/>
      <c r="AS129" s="168">
        <f t="shared" si="35"/>
        <v>0</v>
      </c>
      <c r="AT129" s="168"/>
      <c r="AU129" s="168"/>
      <c r="AV129" s="168"/>
      <c r="AW129" s="168">
        <f t="shared" si="36"/>
        <v>0</v>
      </c>
      <c r="AX129" s="168"/>
      <c r="AY129" s="168"/>
      <c r="AZ129" s="168">
        <f t="shared" si="37"/>
        <v>0</v>
      </c>
      <c r="BA129" s="172"/>
      <c r="IH129" s="142"/>
      <c r="II129" s="142"/>
      <c r="IJ129" s="142"/>
      <c r="IK129" s="142"/>
      <c r="IL129" s="142"/>
      <c r="IM129" s="142"/>
      <c r="IN129" s="142"/>
    </row>
    <row r="130" s="135" customFormat="1" ht="12.95" customHeight="1" spans="1:248">
      <c r="A130" s="157">
        <f t="shared" si="39"/>
        <v>125</v>
      </c>
      <c r="B130" s="158" t="s">
        <v>48</v>
      </c>
      <c r="C130" s="159">
        <v>7610566</v>
      </c>
      <c r="D130" s="1" t="s">
        <v>203</v>
      </c>
      <c r="E130" s="1" t="s">
        <v>59</v>
      </c>
      <c r="F130" s="1" t="s">
        <v>52</v>
      </c>
      <c r="G130" s="1" t="s">
        <v>60</v>
      </c>
      <c r="H130" s="1" t="s">
        <v>34</v>
      </c>
      <c r="I130" s="1" t="s">
        <v>61</v>
      </c>
      <c r="J130" s="1" t="s">
        <v>53</v>
      </c>
      <c r="K130" s="1" t="s">
        <v>60</v>
      </c>
      <c r="L130" s="1" t="s">
        <v>34</v>
      </c>
      <c r="M130" s="1" t="s">
        <v>61</v>
      </c>
      <c r="N130" s="1" t="s">
        <v>53</v>
      </c>
      <c r="O130" s="1" t="s">
        <v>60</v>
      </c>
      <c r="P130" s="1" t="s">
        <v>34</v>
      </c>
      <c r="Q130" s="1" t="s">
        <v>61</v>
      </c>
      <c r="R130" s="1" t="s">
        <v>53</v>
      </c>
      <c r="S130" s="1" t="s">
        <v>60</v>
      </c>
      <c r="T130" s="1" t="s">
        <v>34</v>
      </c>
      <c r="U130" s="1" t="s">
        <v>61</v>
      </c>
      <c r="V130" s="1" t="s">
        <v>53</v>
      </c>
      <c r="W130" s="1" t="s">
        <v>60</v>
      </c>
      <c r="X130" s="1" t="s">
        <v>34</v>
      </c>
      <c r="Y130" s="1" t="s">
        <v>61</v>
      </c>
      <c r="Z130" s="1" t="s">
        <v>53</v>
      </c>
      <c r="AA130" s="1" t="s">
        <v>60</v>
      </c>
      <c r="AB130" s="1" t="s">
        <v>34</v>
      </c>
      <c r="AC130" s="1" t="s">
        <v>61</v>
      </c>
      <c r="AD130" s="1" t="s">
        <v>53</v>
      </c>
      <c r="AE130" s="1" t="s">
        <v>60</v>
      </c>
      <c r="AF130" s="1" t="s">
        <v>34</v>
      </c>
      <c r="AG130" s="1" t="s">
        <v>61</v>
      </c>
      <c r="AH130" s="1" t="s">
        <v>53</v>
      </c>
      <c r="AI130" s="1" t="s">
        <v>60</v>
      </c>
      <c r="AJ130" s="1" t="s">
        <v>34</v>
      </c>
      <c r="AK130" s="1" t="s">
        <v>61</v>
      </c>
      <c r="AL130" s="1">
        <v>31</v>
      </c>
      <c r="AM130" s="1">
        <v>31</v>
      </c>
      <c r="AN130" s="168">
        <f t="shared" si="31"/>
        <v>0</v>
      </c>
      <c r="AO130" s="168">
        <f t="shared" si="32"/>
        <v>0</v>
      </c>
      <c r="AP130" s="168">
        <f t="shared" si="33"/>
        <v>0</v>
      </c>
      <c r="AQ130" s="168">
        <f t="shared" si="34"/>
        <v>0</v>
      </c>
      <c r="AR130" s="168"/>
      <c r="AS130" s="168">
        <f t="shared" si="35"/>
        <v>0</v>
      </c>
      <c r="AT130" s="168"/>
      <c r="AU130" s="168"/>
      <c r="AV130" s="168"/>
      <c r="AW130" s="168">
        <f t="shared" si="36"/>
        <v>0</v>
      </c>
      <c r="AX130" s="168"/>
      <c r="AY130" s="168"/>
      <c r="AZ130" s="168">
        <f t="shared" si="37"/>
        <v>0</v>
      </c>
      <c r="BA130" s="172"/>
      <c r="IH130" s="142"/>
      <c r="II130" s="142"/>
      <c r="IJ130" s="142"/>
      <c r="IK130" s="142"/>
      <c r="IL130" s="142"/>
      <c r="IM130" s="142"/>
      <c r="IN130" s="142"/>
    </row>
    <row r="131" s="135" customFormat="1" ht="12.95" customHeight="1" spans="1:248">
      <c r="A131" s="157">
        <f t="shared" si="39"/>
        <v>126</v>
      </c>
      <c r="B131" s="158" t="s">
        <v>48</v>
      </c>
      <c r="C131" s="159">
        <v>7642879</v>
      </c>
      <c r="D131" s="1" t="s">
        <v>204</v>
      </c>
      <c r="E131" s="1" t="s">
        <v>51</v>
      </c>
      <c r="F131" s="1" t="s">
        <v>52</v>
      </c>
      <c r="G131" s="1" t="s">
        <v>34</v>
      </c>
      <c r="H131" s="1" t="s">
        <v>61</v>
      </c>
      <c r="I131" s="1" t="s">
        <v>53</v>
      </c>
      <c r="J131" s="1" t="s">
        <v>60</v>
      </c>
      <c r="K131" s="1" t="s">
        <v>34</v>
      </c>
      <c r="L131" s="1" t="s">
        <v>61</v>
      </c>
      <c r="M131" s="1" t="s">
        <v>53</v>
      </c>
      <c r="N131" s="1" t="s">
        <v>60</v>
      </c>
      <c r="O131" s="1" t="s">
        <v>34</v>
      </c>
      <c r="P131" s="1" t="s">
        <v>61</v>
      </c>
      <c r="Q131" s="1" t="s">
        <v>53</v>
      </c>
      <c r="R131" s="1" t="s">
        <v>60</v>
      </c>
      <c r="S131" s="1" t="s">
        <v>34</v>
      </c>
      <c r="T131" s="1" t="s">
        <v>61</v>
      </c>
      <c r="U131" s="1" t="s">
        <v>53</v>
      </c>
      <c r="V131" s="1" t="s">
        <v>60</v>
      </c>
      <c r="W131" s="1" t="s">
        <v>34</v>
      </c>
      <c r="X131" s="1" t="s">
        <v>61</v>
      </c>
      <c r="Y131" s="1" t="s">
        <v>53</v>
      </c>
      <c r="Z131" s="1" t="s">
        <v>60</v>
      </c>
      <c r="AA131" s="1" t="s">
        <v>34</v>
      </c>
      <c r="AB131" s="1" t="s">
        <v>61</v>
      </c>
      <c r="AC131" s="1" t="s">
        <v>53</v>
      </c>
      <c r="AD131" s="1" t="s">
        <v>60</v>
      </c>
      <c r="AE131" s="1" t="s">
        <v>34</v>
      </c>
      <c r="AF131" s="1" t="s">
        <v>61</v>
      </c>
      <c r="AG131" s="1" t="s">
        <v>53</v>
      </c>
      <c r="AH131" s="1" t="s">
        <v>60</v>
      </c>
      <c r="AI131" s="1" t="s">
        <v>34</v>
      </c>
      <c r="AJ131" s="1" t="s">
        <v>61</v>
      </c>
      <c r="AK131" s="1" t="s">
        <v>53</v>
      </c>
      <c r="AL131" s="1">
        <v>31</v>
      </c>
      <c r="AM131" s="1">
        <v>31</v>
      </c>
      <c r="AN131" s="168">
        <f t="shared" si="31"/>
        <v>0</v>
      </c>
      <c r="AO131" s="168">
        <f t="shared" si="32"/>
        <v>0</v>
      </c>
      <c r="AP131" s="168">
        <f t="shared" si="33"/>
        <v>0</v>
      </c>
      <c r="AQ131" s="168">
        <f t="shared" si="34"/>
        <v>0</v>
      </c>
      <c r="AR131" s="168"/>
      <c r="AS131" s="168">
        <f t="shared" si="35"/>
        <v>0</v>
      </c>
      <c r="AT131" s="168"/>
      <c r="AU131" s="168"/>
      <c r="AV131" s="168"/>
      <c r="AW131" s="168">
        <f t="shared" si="36"/>
        <v>0</v>
      </c>
      <c r="AX131" s="168"/>
      <c r="AY131" s="168"/>
      <c r="AZ131" s="168">
        <f t="shared" si="37"/>
        <v>0</v>
      </c>
      <c r="BA131" s="172"/>
      <c r="IH131" s="142"/>
      <c r="II131" s="142"/>
      <c r="IJ131" s="142"/>
      <c r="IK131" s="142"/>
      <c r="IL131" s="142"/>
      <c r="IM131" s="142"/>
      <c r="IN131" s="142"/>
    </row>
    <row r="132" s="135" customFormat="1" ht="12.95" customHeight="1" spans="1:248">
      <c r="A132" s="157">
        <f t="shared" ref="A132:A146" si="40">ROW()-5</f>
        <v>127</v>
      </c>
      <c r="B132" s="158" t="s">
        <v>48</v>
      </c>
      <c r="C132" s="160">
        <v>7610211</v>
      </c>
      <c r="D132" s="160" t="s">
        <v>205</v>
      </c>
      <c r="E132" s="160" t="s">
        <v>59</v>
      </c>
      <c r="F132" s="160" t="s">
        <v>52</v>
      </c>
      <c r="G132" s="1" t="s">
        <v>61</v>
      </c>
      <c r="H132" s="1" t="s">
        <v>53</v>
      </c>
      <c r="I132" s="1" t="s">
        <v>60</v>
      </c>
      <c r="J132" s="1" t="s">
        <v>34</v>
      </c>
      <c r="K132" s="1" t="s">
        <v>61</v>
      </c>
      <c r="L132" s="1" t="s">
        <v>53</v>
      </c>
      <c r="M132" s="1" t="s">
        <v>60</v>
      </c>
      <c r="N132" s="1" t="s">
        <v>34</v>
      </c>
      <c r="O132" s="1" t="s">
        <v>34</v>
      </c>
      <c r="P132" s="1" t="s">
        <v>34</v>
      </c>
      <c r="Q132" s="1" t="s">
        <v>60</v>
      </c>
      <c r="R132" s="1" t="s">
        <v>34</v>
      </c>
      <c r="S132" s="1" t="s">
        <v>61</v>
      </c>
      <c r="T132" s="1" t="s">
        <v>53</v>
      </c>
      <c r="U132" s="1" t="s">
        <v>60</v>
      </c>
      <c r="V132" s="1" t="s">
        <v>34</v>
      </c>
      <c r="W132" s="1" t="s">
        <v>61</v>
      </c>
      <c r="X132" s="1" t="s">
        <v>53</v>
      </c>
      <c r="Y132" s="1" t="s">
        <v>60</v>
      </c>
      <c r="Z132" s="1" t="s">
        <v>34</v>
      </c>
      <c r="AA132" s="1" t="s">
        <v>61</v>
      </c>
      <c r="AB132" s="1" t="s">
        <v>53</v>
      </c>
      <c r="AC132" s="1" t="s">
        <v>60</v>
      </c>
      <c r="AD132" s="1" t="s">
        <v>34</v>
      </c>
      <c r="AE132" s="1" t="s">
        <v>61</v>
      </c>
      <c r="AF132" s="1" t="s">
        <v>53</v>
      </c>
      <c r="AG132" s="1" t="s">
        <v>60</v>
      </c>
      <c r="AH132" s="1" t="s">
        <v>34</v>
      </c>
      <c r="AI132" s="1" t="s">
        <v>61</v>
      </c>
      <c r="AJ132" s="1" t="s">
        <v>53</v>
      </c>
      <c r="AK132" s="1" t="s">
        <v>60</v>
      </c>
      <c r="AL132" s="1">
        <v>31</v>
      </c>
      <c r="AM132" s="1">
        <v>31</v>
      </c>
      <c r="AN132" s="168">
        <f t="shared" si="31"/>
        <v>0</v>
      </c>
      <c r="AO132" s="168">
        <f t="shared" si="32"/>
        <v>0</v>
      </c>
      <c r="AP132" s="168">
        <f t="shared" si="33"/>
        <v>0</v>
      </c>
      <c r="AQ132" s="168">
        <f t="shared" si="34"/>
        <v>0</v>
      </c>
      <c r="AR132" s="168"/>
      <c r="AS132" s="168">
        <f t="shared" si="35"/>
        <v>0</v>
      </c>
      <c r="AT132" s="168"/>
      <c r="AU132" s="168"/>
      <c r="AV132" s="168"/>
      <c r="AW132" s="168">
        <f t="shared" si="36"/>
        <v>0</v>
      </c>
      <c r="AX132" s="168"/>
      <c r="AY132" s="168"/>
      <c r="AZ132" s="168">
        <f t="shared" si="37"/>
        <v>0</v>
      </c>
      <c r="BA132" s="172"/>
      <c r="IH132" s="142"/>
      <c r="II132" s="142"/>
      <c r="IJ132" s="142"/>
      <c r="IK132" s="142"/>
      <c r="IL132" s="142"/>
      <c r="IM132" s="142"/>
      <c r="IN132" s="142"/>
    </row>
    <row r="133" s="135" customFormat="1" ht="12.95" customHeight="1" spans="1:248">
      <c r="A133" s="157">
        <f t="shared" si="40"/>
        <v>128</v>
      </c>
      <c r="B133" s="158" t="s">
        <v>48</v>
      </c>
      <c r="C133" s="1">
        <v>7610265</v>
      </c>
      <c r="D133" s="1" t="s">
        <v>206</v>
      </c>
      <c r="E133" s="1" t="s">
        <v>59</v>
      </c>
      <c r="F133" s="1" t="s">
        <v>52</v>
      </c>
      <c r="G133" s="1" t="s">
        <v>60</v>
      </c>
      <c r="H133" s="1" t="s">
        <v>34</v>
      </c>
      <c r="I133" s="1" t="s">
        <v>61</v>
      </c>
      <c r="J133" s="1" t="s">
        <v>53</v>
      </c>
      <c r="K133" s="1" t="s">
        <v>60</v>
      </c>
      <c r="L133" s="1" t="s">
        <v>34</v>
      </c>
      <c r="M133" s="1" t="s">
        <v>61</v>
      </c>
      <c r="N133" s="1" t="s">
        <v>53</v>
      </c>
      <c r="O133" s="1" t="s">
        <v>60</v>
      </c>
      <c r="P133" s="1" t="s">
        <v>34</v>
      </c>
      <c r="Q133" s="1" t="s">
        <v>61</v>
      </c>
      <c r="R133" s="1" t="s">
        <v>53</v>
      </c>
      <c r="S133" s="1" t="s">
        <v>60</v>
      </c>
      <c r="T133" s="1" t="s">
        <v>34</v>
      </c>
      <c r="U133" s="1" t="s">
        <v>61</v>
      </c>
      <c r="V133" s="1" t="s">
        <v>53</v>
      </c>
      <c r="W133" s="154" t="s">
        <v>60</v>
      </c>
      <c r="X133" s="1" t="s">
        <v>34</v>
      </c>
      <c r="Y133" s="1" t="s">
        <v>61</v>
      </c>
      <c r="Z133" s="1" t="s">
        <v>53</v>
      </c>
      <c r="AA133" s="1" t="s">
        <v>60</v>
      </c>
      <c r="AB133" s="1" t="s">
        <v>34</v>
      </c>
      <c r="AC133" s="1" t="s">
        <v>61</v>
      </c>
      <c r="AD133" s="1" t="s">
        <v>53</v>
      </c>
      <c r="AE133" s="1" t="s">
        <v>60</v>
      </c>
      <c r="AF133" s="1" t="s">
        <v>34</v>
      </c>
      <c r="AG133" s="1" t="s">
        <v>61</v>
      </c>
      <c r="AH133" s="1" t="s">
        <v>53</v>
      </c>
      <c r="AI133" s="154" t="s">
        <v>60</v>
      </c>
      <c r="AJ133" s="1" t="s">
        <v>34</v>
      </c>
      <c r="AK133" s="1" t="s">
        <v>61</v>
      </c>
      <c r="AL133" s="1">
        <v>31</v>
      </c>
      <c r="AM133" s="1">
        <v>31</v>
      </c>
      <c r="AN133" s="168">
        <f t="shared" si="31"/>
        <v>0</v>
      </c>
      <c r="AO133" s="168">
        <f t="shared" si="32"/>
        <v>0</v>
      </c>
      <c r="AP133" s="168">
        <f t="shared" si="33"/>
        <v>0</v>
      </c>
      <c r="AQ133" s="168">
        <f t="shared" si="34"/>
        <v>0</v>
      </c>
      <c r="AR133" s="168"/>
      <c r="AS133" s="168">
        <f t="shared" si="35"/>
        <v>0</v>
      </c>
      <c r="AT133" s="168"/>
      <c r="AU133" s="168"/>
      <c r="AV133" s="168"/>
      <c r="AW133" s="168">
        <f t="shared" si="36"/>
        <v>0</v>
      </c>
      <c r="AX133" s="168"/>
      <c r="AY133" s="168"/>
      <c r="AZ133" s="168">
        <f t="shared" si="37"/>
        <v>0</v>
      </c>
      <c r="BA133" s="172"/>
      <c r="IH133" s="142"/>
      <c r="II133" s="142"/>
      <c r="IJ133" s="142"/>
      <c r="IK133" s="142"/>
      <c r="IL133" s="142"/>
      <c r="IM133" s="142"/>
      <c r="IN133" s="142"/>
    </row>
    <row r="134" s="135" customFormat="1" ht="12.95" customHeight="1" spans="1:248">
      <c r="A134" s="157">
        <f t="shared" si="40"/>
        <v>129</v>
      </c>
      <c r="B134" s="158" t="s">
        <v>48</v>
      </c>
      <c r="C134" s="1">
        <v>7642884</v>
      </c>
      <c r="D134" s="1" t="s">
        <v>207</v>
      </c>
      <c r="E134" s="1" t="s">
        <v>65</v>
      </c>
      <c r="F134" s="1" t="s">
        <v>52</v>
      </c>
      <c r="G134" s="1" t="s">
        <v>53</v>
      </c>
      <c r="H134" s="1" t="s">
        <v>61</v>
      </c>
      <c r="I134" s="1" t="s">
        <v>61</v>
      </c>
      <c r="J134" s="1" t="s">
        <v>34</v>
      </c>
      <c r="K134" s="1" t="s">
        <v>34</v>
      </c>
      <c r="L134" s="1" t="s">
        <v>33</v>
      </c>
      <c r="M134" s="1" t="s">
        <v>34</v>
      </c>
      <c r="N134" s="1" t="s">
        <v>33</v>
      </c>
      <c r="O134" s="1" t="s">
        <v>33</v>
      </c>
      <c r="P134" s="1" t="s">
        <v>33</v>
      </c>
      <c r="Q134" s="1" t="s">
        <v>33</v>
      </c>
      <c r="R134" s="1" t="s">
        <v>33</v>
      </c>
      <c r="S134" s="1" t="s">
        <v>34</v>
      </c>
      <c r="T134" s="1" t="s">
        <v>33</v>
      </c>
      <c r="U134" s="1" t="s">
        <v>33</v>
      </c>
      <c r="V134" s="1" t="s">
        <v>33</v>
      </c>
      <c r="W134" s="1" t="s">
        <v>33</v>
      </c>
      <c r="X134" s="1" t="s">
        <v>61</v>
      </c>
      <c r="Y134" s="1" t="s">
        <v>53</v>
      </c>
      <c r="Z134" s="1" t="s">
        <v>33</v>
      </c>
      <c r="AA134" s="1" t="s">
        <v>33</v>
      </c>
      <c r="AB134" s="1" t="s">
        <v>33</v>
      </c>
      <c r="AC134" s="1" t="s">
        <v>33</v>
      </c>
      <c r="AD134" s="1" t="s">
        <v>33</v>
      </c>
      <c r="AE134" s="1" t="s">
        <v>33</v>
      </c>
      <c r="AF134" s="1" t="s">
        <v>53</v>
      </c>
      <c r="AG134" s="1" t="s">
        <v>60</v>
      </c>
      <c r="AH134" s="1" t="s">
        <v>34</v>
      </c>
      <c r="AI134" s="1" t="s">
        <v>33</v>
      </c>
      <c r="AJ134" s="1" t="s">
        <v>33</v>
      </c>
      <c r="AK134" s="1" t="s">
        <v>33</v>
      </c>
      <c r="AL134" s="1">
        <v>31</v>
      </c>
      <c r="AM134" s="1">
        <v>31</v>
      </c>
      <c r="AN134" s="168">
        <f t="shared" si="31"/>
        <v>0</v>
      </c>
      <c r="AO134" s="168">
        <f t="shared" si="32"/>
        <v>0</v>
      </c>
      <c r="AP134" s="168">
        <f t="shared" si="33"/>
        <v>0</v>
      </c>
      <c r="AQ134" s="168">
        <f t="shared" si="34"/>
        <v>0</v>
      </c>
      <c r="AR134" s="168"/>
      <c r="AS134" s="168">
        <f t="shared" si="35"/>
        <v>0</v>
      </c>
      <c r="AT134" s="168"/>
      <c r="AU134" s="168"/>
      <c r="AV134" s="168"/>
      <c r="AW134" s="168">
        <f t="shared" si="36"/>
        <v>0</v>
      </c>
      <c r="AX134" s="168"/>
      <c r="AY134" s="168"/>
      <c r="AZ134" s="168">
        <f t="shared" si="37"/>
        <v>0</v>
      </c>
      <c r="BA134" s="172"/>
      <c r="IH134" s="142"/>
      <c r="II134" s="142"/>
      <c r="IJ134" s="142"/>
      <c r="IK134" s="142"/>
      <c r="IL134" s="142"/>
      <c r="IM134" s="142"/>
      <c r="IN134" s="142"/>
    </row>
    <row r="135" s="135" customFormat="1" ht="12.95" customHeight="1" spans="1:248">
      <c r="A135" s="157">
        <f t="shared" si="40"/>
        <v>130</v>
      </c>
      <c r="B135" s="158" t="s">
        <v>48</v>
      </c>
      <c r="C135" s="178">
        <v>7642881</v>
      </c>
      <c r="D135" s="160" t="s">
        <v>208</v>
      </c>
      <c r="E135" s="160" t="s">
        <v>51</v>
      </c>
      <c r="F135" s="1" t="s">
        <v>52</v>
      </c>
      <c r="G135" s="1" t="s">
        <v>53</v>
      </c>
      <c r="H135" s="1" t="s">
        <v>60</v>
      </c>
      <c r="I135" s="1" t="s">
        <v>34</v>
      </c>
      <c r="J135" s="1" t="s">
        <v>61</v>
      </c>
      <c r="K135" s="1" t="s">
        <v>53</v>
      </c>
      <c r="L135" s="1" t="s">
        <v>60</v>
      </c>
      <c r="M135" s="1" t="s">
        <v>34</v>
      </c>
      <c r="N135" s="1" t="s">
        <v>61</v>
      </c>
      <c r="O135" s="1" t="s">
        <v>53</v>
      </c>
      <c r="P135" s="1" t="s">
        <v>60</v>
      </c>
      <c r="Q135" s="1" t="s">
        <v>34</v>
      </c>
      <c r="R135" s="1" t="s">
        <v>61</v>
      </c>
      <c r="S135" s="1" t="s">
        <v>53</v>
      </c>
      <c r="T135" s="1" t="s">
        <v>60</v>
      </c>
      <c r="U135" s="1" t="s">
        <v>34</v>
      </c>
      <c r="V135" s="1" t="s">
        <v>61</v>
      </c>
      <c r="W135" s="1" t="s">
        <v>53</v>
      </c>
      <c r="X135" s="1" t="s">
        <v>60</v>
      </c>
      <c r="Y135" s="1" t="s">
        <v>34</v>
      </c>
      <c r="Z135" s="1" t="s">
        <v>61</v>
      </c>
      <c r="AA135" s="1" t="s">
        <v>53</v>
      </c>
      <c r="AB135" s="1" t="s">
        <v>60</v>
      </c>
      <c r="AC135" s="1" t="s">
        <v>34</v>
      </c>
      <c r="AD135" s="1" t="s">
        <v>61</v>
      </c>
      <c r="AE135" s="1" t="s">
        <v>53</v>
      </c>
      <c r="AF135" s="1" t="s">
        <v>60</v>
      </c>
      <c r="AG135" s="1" t="s">
        <v>34</v>
      </c>
      <c r="AH135" s="1" t="s">
        <v>61</v>
      </c>
      <c r="AI135" s="1" t="s">
        <v>53</v>
      </c>
      <c r="AJ135" s="1" t="s">
        <v>60</v>
      </c>
      <c r="AK135" s="1" t="s">
        <v>34</v>
      </c>
      <c r="AL135" s="1">
        <v>31</v>
      </c>
      <c r="AM135" s="1">
        <v>31</v>
      </c>
      <c r="AN135" s="168">
        <f t="shared" si="31"/>
        <v>0</v>
      </c>
      <c r="AO135" s="168">
        <f t="shared" si="32"/>
        <v>0</v>
      </c>
      <c r="AP135" s="168">
        <f t="shared" si="33"/>
        <v>0</v>
      </c>
      <c r="AQ135" s="168">
        <f t="shared" si="34"/>
        <v>0</v>
      </c>
      <c r="AR135" s="168"/>
      <c r="AS135" s="168">
        <f t="shared" si="35"/>
        <v>0</v>
      </c>
      <c r="AT135" s="168"/>
      <c r="AU135" s="168"/>
      <c r="AV135" s="168"/>
      <c r="AW135" s="168">
        <f t="shared" si="36"/>
        <v>0</v>
      </c>
      <c r="AX135" s="168"/>
      <c r="AY135" s="168"/>
      <c r="AZ135" s="168">
        <f t="shared" si="37"/>
        <v>0</v>
      </c>
      <c r="BA135" s="172"/>
      <c r="IH135" s="142"/>
      <c r="II135" s="142"/>
      <c r="IJ135" s="142"/>
      <c r="IK135" s="142"/>
      <c r="IL135" s="142"/>
      <c r="IM135" s="142"/>
      <c r="IN135" s="142"/>
    </row>
    <row r="136" s="135" customFormat="1" ht="12.95" customHeight="1" spans="1:248">
      <c r="A136" s="157">
        <f t="shared" si="40"/>
        <v>131</v>
      </c>
      <c r="B136" s="158" t="s">
        <v>48</v>
      </c>
      <c r="C136" s="159">
        <v>7642887</v>
      </c>
      <c r="D136" s="1" t="s">
        <v>209</v>
      </c>
      <c r="E136" s="1" t="s">
        <v>65</v>
      </c>
      <c r="F136" s="1" t="s">
        <v>52</v>
      </c>
      <c r="G136" s="1" t="s">
        <v>61</v>
      </c>
      <c r="H136" s="1" t="s">
        <v>53</v>
      </c>
      <c r="I136" s="1" t="s">
        <v>61</v>
      </c>
      <c r="J136" s="1" t="s">
        <v>34</v>
      </c>
      <c r="K136" s="1" t="s">
        <v>34</v>
      </c>
      <c r="L136" s="1" t="s">
        <v>33</v>
      </c>
      <c r="M136" s="1" t="s">
        <v>34</v>
      </c>
      <c r="N136" s="1" t="s">
        <v>33</v>
      </c>
      <c r="O136" s="1" t="s">
        <v>61</v>
      </c>
      <c r="P136" s="1" t="s">
        <v>53</v>
      </c>
      <c r="Q136" s="1" t="s">
        <v>33</v>
      </c>
      <c r="R136" s="1" t="s">
        <v>33</v>
      </c>
      <c r="S136" s="1" t="s">
        <v>34</v>
      </c>
      <c r="T136" s="1" t="s">
        <v>33</v>
      </c>
      <c r="U136" s="1" t="s">
        <v>33</v>
      </c>
      <c r="V136" s="1" t="s">
        <v>33</v>
      </c>
      <c r="W136" s="1" t="s">
        <v>33</v>
      </c>
      <c r="X136" s="1" t="s">
        <v>33</v>
      </c>
      <c r="Y136" s="1" t="s">
        <v>34</v>
      </c>
      <c r="Z136" s="1" t="s">
        <v>34</v>
      </c>
      <c r="AA136" s="1" t="s">
        <v>33</v>
      </c>
      <c r="AB136" s="1" t="s">
        <v>61</v>
      </c>
      <c r="AC136" s="1" t="s">
        <v>53</v>
      </c>
      <c r="AD136" s="1" t="s">
        <v>60</v>
      </c>
      <c r="AE136" s="1" t="s">
        <v>34</v>
      </c>
      <c r="AF136" s="1" t="s">
        <v>34</v>
      </c>
      <c r="AG136" s="1" t="s">
        <v>34</v>
      </c>
      <c r="AH136" s="1" t="s">
        <v>33</v>
      </c>
      <c r="AI136" s="1" t="s">
        <v>33</v>
      </c>
      <c r="AJ136" s="1" t="s">
        <v>33</v>
      </c>
      <c r="AK136" s="1" t="s">
        <v>33</v>
      </c>
      <c r="AL136" s="1">
        <v>31</v>
      </c>
      <c r="AM136" s="1">
        <v>31</v>
      </c>
      <c r="AN136" s="168">
        <f t="shared" si="31"/>
        <v>0</v>
      </c>
      <c r="AO136" s="168">
        <f t="shared" si="32"/>
        <v>0</v>
      </c>
      <c r="AP136" s="168">
        <f t="shared" si="33"/>
        <v>0</v>
      </c>
      <c r="AQ136" s="168">
        <f t="shared" si="34"/>
        <v>0</v>
      </c>
      <c r="AR136" s="168"/>
      <c r="AS136" s="168">
        <f t="shared" si="35"/>
        <v>0</v>
      </c>
      <c r="AT136" s="168"/>
      <c r="AU136" s="168"/>
      <c r="AV136" s="168"/>
      <c r="AW136" s="168">
        <f t="shared" si="36"/>
        <v>0</v>
      </c>
      <c r="AX136" s="168"/>
      <c r="AY136" s="168"/>
      <c r="AZ136" s="168">
        <f t="shared" si="37"/>
        <v>0</v>
      </c>
      <c r="BA136" s="172"/>
      <c r="IH136" s="142"/>
      <c r="II136" s="142"/>
      <c r="IJ136" s="142"/>
      <c r="IK136" s="142"/>
      <c r="IL136" s="142"/>
      <c r="IM136" s="142"/>
      <c r="IN136" s="142"/>
    </row>
    <row r="137" s="135" customFormat="1" ht="12.95" customHeight="1" spans="1:248">
      <c r="A137" s="157">
        <f t="shared" si="40"/>
        <v>132</v>
      </c>
      <c r="B137" s="164" t="s">
        <v>48</v>
      </c>
      <c r="C137" s="1">
        <v>7642865</v>
      </c>
      <c r="D137" s="1" t="s">
        <v>210</v>
      </c>
      <c r="E137" s="1" t="s">
        <v>59</v>
      </c>
      <c r="F137" s="1" t="s">
        <v>52</v>
      </c>
      <c r="G137" s="165" t="s">
        <v>211</v>
      </c>
      <c r="H137" s="165" t="s">
        <v>211</v>
      </c>
      <c r="I137" s="165" t="s">
        <v>211</v>
      </c>
      <c r="J137" s="165" t="s">
        <v>211</v>
      </c>
      <c r="K137" s="165" t="s">
        <v>211</v>
      </c>
      <c r="L137" s="165" t="s">
        <v>211</v>
      </c>
      <c r="M137" s="165" t="s">
        <v>211</v>
      </c>
      <c r="N137" s="165" t="s">
        <v>211</v>
      </c>
      <c r="O137" s="165" t="s">
        <v>211</v>
      </c>
      <c r="P137" s="165" t="s">
        <v>211</v>
      </c>
      <c r="Q137" s="165" t="s">
        <v>211</v>
      </c>
      <c r="R137" s="165" t="s">
        <v>211</v>
      </c>
      <c r="S137" s="165" t="s">
        <v>211</v>
      </c>
      <c r="T137" s="165" t="s">
        <v>211</v>
      </c>
      <c r="U137" s="165" t="s">
        <v>211</v>
      </c>
      <c r="V137" s="165" t="s">
        <v>211</v>
      </c>
      <c r="W137" s="165" t="s">
        <v>211</v>
      </c>
      <c r="X137" s="165" t="s">
        <v>211</v>
      </c>
      <c r="Y137" s="165" t="s">
        <v>211</v>
      </c>
      <c r="Z137" s="165" t="s">
        <v>211</v>
      </c>
      <c r="AA137" s="165" t="s">
        <v>211</v>
      </c>
      <c r="AB137" s="165" t="s">
        <v>211</v>
      </c>
      <c r="AC137" s="165" t="s">
        <v>211</v>
      </c>
      <c r="AD137" s="165" t="s">
        <v>211</v>
      </c>
      <c r="AE137" s="165" t="s">
        <v>211</v>
      </c>
      <c r="AF137" s="165" t="s">
        <v>211</v>
      </c>
      <c r="AG137" s="165" t="s">
        <v>211</v>
      </c>
      <c r="AH137" s="165" t="s">
        <v>211</v>
      </c>
      <c r="AI137" s="165" t="s">
        <v>211</v>
      </c>
      <c r="AJ137" s="165" t="s">
        <v>211</v>
      </c>
      <c r="AK137" s="165" t="s">
        <v>211</v>
      </c>
      <c r="AL137" s="1">
        <v>31</v>
      </c>
      <c r="AM137" s="1">
        <v>0</v>
      </c>
      <c r="AN137" s="168">
        <f t="shared" si="31"/>
        <v>0</v>
      </c>
      <c r="AO137" s="168">
        <f t="shared" si="32"/>
        <v>0</v>
      </c>
      <c r="AP137" s="168">
        <f t="shared" si="33"/>
        <v>0</v>
      </c>
      <c r="AQ137" s="168">
        <f t="shared" si="34"/>
        <v>0</v>
      </c>
      <c r="AR137" s="168"/>
      <c r="AS137" s="168">
        <f t="shared" si="35"/>
        <v>31</v>
      </c>
      <c r="AT137" s="168"/>
      <c r="AU137" s="168"/>
      <c r="AV137" s="168"/>
      <c r="AW137" s="168">
        <f t="shared" si="36"/>
        <v>0</v>
      </c>
      <c r="AX137" s="168"/>
      <c r="AY137" s="168"/>
      <c r="AZ137" s="168">
        <f t="shared" si="37"/>
        <v>31</v>
      </c>
      <c r="BA137" s="172" t="s">
        <v>20</v>
      </c>
      <c r="IH137" s="142"/>
      <c r="II137" s="142"/>
      <c r="IJ137" s="142"/>
      <c r="IK137" s="142"/>
      <c r="IL137" s="142"/>
      <c r="IM137" s="142"/>
      <c r="IN137" s="142"/>
    </row>
    <row r="138" s="135" customFormat="1" ht="12.95" customHeight="1" spans="1:248">
      <c r="A138" s="157">
        <f t="shared" si="40"/>
        <v>133</v>
      </c>
      <c r="B138" s="158" t="s">
        <v>48</v>
      </c>
      <c r="C138" s="159">
        <v>7611977</v>
      </c>
      <c r="D138" s="1" t="s">
        <v>212</v>
      </c>
      <c r="E138" s="1" t="s">
        <v>51</v>
      </c>
      <c r="F138" s="1" t="s">
        <v>52</v>
      </c>
      <c r="G138" s="1" t="s">
        <v>34</v>
      </c>
      <c r="H138" s="1" t="s">
        <v>61</v>
      </c>
      <c r="I138" s="1" t="s">
        <v>53</v>
      </c>
      <c r="J138" s="1" t="s">
        <v>60</v>
      </c>
      <c r="K138" s="1" t="s">
        <v>34</v>
      </c>
      <c r="L138" s="1" t="s">
        <v>61</v>
      </c>
      <c r="M138" s="1" t="s">
        <v>53</v>
      </c>
      <c r="N138" s="1" t="s">
        <v>60</v>
      </c>
      <c r="O138" s="1" t="s">
        <v>34</v>
      </c>
      <c r="P138" s="1" t="s">
        <v>61</v>
      </c>
      <c r="Q138" s="1" t="s">
        <v>53</v>
      </c>
      <c r="R138" s="1" t="s">
        <v>60</v>
      </c>
      <c r="S138" s="1" t="s">
        <v>34</v>
      </c>
      <c r="T138" s="165" t="s">
        <v>43</v>
      </c>
      <c r="U138" s="165" t="s">
        <v>43</v>
      </c>
      <c r="V138" s="165" t="s">
        <v>43</v>
      </c>
      <c r="W138" s="165" t="s">
        <v>43</v>
      </c>
      <c r="X138" s="165" t="s">
        <v>43</v>
      </c>
      <c r="Y138" s="165" t="s">
        <v>43</v>
      </c>
      <c r="Z138" s="1" t="s">
        <v>60</v>
      </c>
      <c r="AA138" s="1" t="s">
        <v>34</v>
      </c>
      <c r="AB138" s="1" t="s">
        <v>61</v>
      </c>
      <c r="AC138" s="1" t="s">
        <v>53</v>
      </c>
      <c r="AD138" s="1" t="s">
        <v>60</v>
      </c>
      <c r="AE138" s="1" t="s">
        <v>34</v>
      </c>
      <c r="AF138" s="1" t="s">
        <v>61</v>
      </c>
      <c r="AG138" s="1" t="s">
        <v>53</v>
      </c>
      <c r="AH138" s="1" t="s">
        <v>60</v>
      </c>
      <c r="AI138" s="1" t="s">
        <v>34</v>
      </c>
      <c r="AJ138" s="1" t="s">
        <v>61</v>
      </c>
      <c r="AK138" s="1" t="s">
        <v>53</v>
      </c>
      <c r="AL138" s="1">
        <v>31</v>
      </c>
      <c r="AM138" s="1">
        <v>31</v>
      </c>
      <c r="AN138" s="168">
        <f t="shared" si="31"/>
        <v>0</v>
      </c>
      <c r="AO138" s="168">
        <f t="shared" si="32"/>
        <v>0</v>
      </c>
      <c r="AP138" s="168">
        <f t="shared" si="33"/>
        <v>0</v>
      </c>
      <c r="AQ138" s="168">
        <f t="shared" si="34"/>
        <v>0</v>
      </c>
      <c r="AR138" s="168"/>
      <c r="AS138" s="168">
        <f t="shared" si="35"/>
        <v>0</v>
      </c>
      <c r="AT138" s="168"/>
      <c r="AU138" s="168"/>
      <c r="AV138" s="168"/>
      <c r="AW138" s="168">
        <f t="shared" si="36"/>
        <v>0</v>
      </c>
      <c r="AX138" s="168"/>
      <c r="AY138" s="168"/>
      <c r="AZ138" s="168">
        <f t="shared" si="37"/>
        <v>0</v>
      </c>
      <c r="BA138" s="172" t="s">
        <v>213</v>
      </c>
      <c r="IH138" s="142"/>
      <c r="II138" s="142"/>
      <c r="IJ138" s="142"/>
      <c r="IK138" s="142"/>
      <c r="IL138" s="142"/>
      <c r="IM138" s="142"/>
      <c r="IN138" s="142"/>
    </row>
    <row r="139" s="135" customFormat="1" ht="12.95" customHeight="1" spans="1:248">
      <c r="A139" s="157">
        <f t="shared" si="40"/>
        <v>134</v>
      </c>
      <c r="B139" s="158" t="s">
        <v>48</v>
      </c>
      <c r="C139" s="1">
        <v>7611485</v>
      </c>
      <c r="D139" s="1" t="s">
        <v>214</v>
      </c>
      <c r="E139" s="158" t="s">
        <v>51</v>
      </c>
      <c r="F139" s="1" t="s">
        <v>52</v>
      </c>
      <c r="G139" s="1" t="s">
        <v>60</v>
      </c>
      <c r="H139" s="1" t="s">
        <v>34</v>
      </c>
      <c r="I139" s="1" t="s">
        <v>61</v>
      </c>
      <c r="J139" s="1" t="s">
        <v>53</v>
      </c>
      <c r="K139" s="1" t="s">
        <v>60</v>
      </c>
      <c r="L139" s="1" t="s">
        <v>34</v>
      </c>
      <c r="M139" s="1" t="s">
        <v>61</v>
      </c>
      <c r="N139" s="1" t="s">
        <v>53</v>
      </c>
      <c r="O139" s="1" t="s">
        <v>60</v>
      </c>
      <c r="P139" s="1" t="s">
        <v>34</v>
      </c>
      <c r="Q139" s="1" t="s">
        <v>61</v>
      </c>
      <c r="R139" s="1" t="s">
        <v>53</v>
      </c>
      <c r="S139" s="160" t="s">
        <v>60</v>
      </c>
      <c r="T139" s="1" t="s">
        <v>34</v>
      </c>
      <c r="U139" s="1" t="s">
        <v>61</v>
      </c>
      <c r="V139" s="1" t="s">
        <v>53</v>
      </c>
      <c r="W139" s="177" t="s">
        <v>60</v>
      </c>
      <c r="X139" s="1" t="s">
        <v>34</v>
      </c>
      <c r="Y139" s="1" t="s">
        <v>61</v>
      </c>
      <c r="Z139" s="1" t="s">
        <v>53</v>
      </c>
      <c r="AA139" s="160" t="s">
        <v>60</v>
      </c>
      <c r="AB139" s="1" t="s">
        <v>34</v>
      </c>
      <c r="AC139" s="1" t="s">
        <v>61</v>
      </c>
      <c r="AD139" s="1" t="s">
        <v>53</v>
      </c>
      <c r="AE139" s="160" t="s">
        <v>60</v>
      </c>
      <c r="AF139" s="1" t="s">
        <v>34</v>
      </c>
      <c r="AG139" s="1" t="s">
        <v>61</v>
      </c>
      <c r="AH139" s="1" t="s">
        <v>53</v>
      </c>
      <c r="AI139" s="177" t="s">
        <v>60</v>
      </c>
      <c r="AJ139" s="1" t="s">
        <v>34</v>
      </c>
      <c r="AK139" s="1" t="s">
        <v>61</v>
      </c>
      <c r="AL139" s="1">
        <v>31</v>
      </c>
      <c r="AM139" s="1">
        <v>31</v>
      </c>
      <c r="AN139" s="168">
        <f t="shared" si="31"/>
        <v>0</v>
      </c>
      <c r="AO139" s="168">
        <f t="shared" si="32"/>
        <v>0</v>
      </c>
      <c r="AP139" s="168">
        <f t="shared" si="33"/>
        <v>0</v>
      </c>
      <c r="AQ139" s="168">
        <f t="shared" si="34"/>
        <v>0</v>
      </c>
      <c r="AR139" s="168"/>
      <c r="AS139" s="168">
        <f t="shared" si="35"/>
        <v>0</v>
      </c>
      <c r="AT139" s="168"/>
      <c r="AU139" s="168"/>
      <c r="AV139" s="168"/>
      <c r="AW139" s="168">
        <f t="shared" si="36"/>
        <v>0</v>
      </c>
      <c r="AX139" s="168"/>
      <c r="AY139" s="168"/>
      <c r="AZ139" s="168">
        <f t="shared" si="37"/>
        <v>0</v>
      </c>
      <c r="BA139" s="172"/>
      <c r="IH139" s="142"/>
      <c r="II139" s="142"/>
      <c r="IJ139" s="142"/>
      <c r="IK139" s="142"/>
      <c r="IL139" s="142"/>
      <c r="IM139" s="142"/>
      <c r="IN139" s="142"/>
    </row>
    <row r="140" s="135" customFormat="1" ht="12.95" customHeight="1" spans="1:248">
      <c r="A140" s="157">
        <f t="shared" si="40"/>
        <v>135</v>
      </c>
      <c r="B140" s="158" t="s">
        <v>48</v>
      </c>
      <c r="C140" s="159">
        <v>7642888</v>
      </c>
      <c r="D140" s="1" t="s">
        <v>215</v>
      </c>
      <c r="E140" s="1" t="s">
        <v>51</v>
      </c>
      <c r="F140" s="1" t="s">
        <v>52</v>
      </c>
      <c r="G140" s="1" t="s">
        <v>60</v>
      </c>
      <c r="H140" s="1" t="s">
        <v>34</v>
      </c>
      <c r="I140" s="1" t="s">
        <v>61</v>
      </c>
      <c r="J140" s="1" t="s">
        <v>53</v>
      </c>
      <c r="K140" s="1" t="s">
        <v>60</v>
      </c>
      <c r="L140" s="1" t="s">
        <v>34</v>
      </c>
      <c r="M140" s="1" t="s">
        <v>61</v>
      </c>
      <c r="N140" s="1" t="s">
        <v>53</v>
      </c>
      <c r="O140" s="1" t="s">
        <v>60</v>
      </c>
      <c r="P140" s="1" t="s">
        <v>34</v>
      </c>
      <c r="Q140" s="1" t="s">
        <v>61</v>
      </c>
      <c r="R140" s="1" t="s">
        <v>53</v>
      </c>
      <c r="S140" s="1" t="s">
        <v>60</v>
      </c>
      <c r="T140" s="1" t="s">
        <v>34</v>
      </c>
      <c r="U140" s="1" t="s">
        <v>61</v>
      </c>
      <c r="V140" s="1" t="s">
        <v>53</v>
      </c>
      <c r="W140" s="177" t="s">
        <v>60</v>
      </c>
      <c r="X140" s="1" t="s">
        <v>34</v>
      </c>
      <c r="Y140" s="1" t="s">
        <v>61</v>
      </c>
      <c r="Z140" s="1" t="s">
        <v>53</v>
      </c>
      <c r="AA140" s="1" t="s">
        <v>60</v>
      </c>
      <c r="AB140" s="1" t="s">
        <v>34</v>
      </c>
      <c r="AC140" s="1" t="s">
        <v>61</v>
      </c>
      <c r="AD140" s="1" t="s">
        <v>53</v>
      </c>
      <c r="AE140" s="1" t="s">
        <v>60</v>
      </c>
      <c r="AF140" s="1" t="s">
        <v>34</v>
      </c>
      <c r="AG140" s="1" t="s">
        <v>61</v>
      </c>
      <c r="AH140" s="1" t="s">
        <v>53</v>
      </c>
      <c r="AI140" s="177" t="s">
        <v>60</v>
      </c>
      <c r="AJ140" s="1" t="s">
        <v>34</v>
      </c>
      <c r="AK140" s="1" t="s">
        <v>61</v>
      </c>
      <c r="AL140" s="1">
        <v>31</v>
      </c>
      <c r="AM140" s="1">
        <v>31</v>
      </c>
      <c r="AN140" s="168">
        <f t="shared" si="31"/>
        <v>0</v>
      </c>
      <c r="AO140" s="168">
        <f t="shared" si="32"/>
        <v>0</v>
      </c>
      <c r="AP140" s="168">
        <f t="shared" si="33"/>
        <v>0</v>
      </c>
      <c r="AQ140" s="168">
        <f t="shared" si="34"/>
        <v>0</v>
      </c>
      <c r="AR140" s="168"/>
      <c r="AS140" s="168">
        <f t="shared" si="35"/>
        <v>0</v>
      </c>
      <c r="AT140" s="168"/>
      <c r="AU140" s="168"/>
      <c r="AV140" s="168"/>
      <c r="AW140" s="168">
        <f t="shared" si="36"/>
        <v>0</v>
      </c>
      <c r="AX140" s="168"/>
      <c r="AY140" s="168"/>
      <c r="AZ140" s="168">
        <f t="shared" si="37"/>
        <v>0</v>
      </c>
      <c r="BA140" s="172"/>
      <c r="IH140" s="142"/>
      <c r="II140" s="142"/>
      <c r="IJ140" s="142"/>
      <c r="IK140" s="142"/>
      <c r="IL140" s="142"/>
      <c r="IM140" s="142"/>
      <c r="IN140" s="142"/>
    </row>
    <row r="141" ht="12.95" customHeight="1" spans="1:53">
      <c r="A141" s="157">
        <f t="shared" si="40"/>
        <v>136</v>
      </c>
      <c r="B141" s="158" t="s">
        <v>48</v>
      </c>
      <c r="C141" s="159">
        <v>7642876</v>
      </c>
      <c r="D141" s="1" t="s">
        <v>216</v>
      </c>
      <c r="E141" s="1" t="s">
        <v>51</v>
      </c>
      <c r="F141" s="1" t="s">
        <v>52</v>
      </c>
      <c r="G141" s="1" t="s">
        <v>53</v>
      </c>
      <c r="H141" s="1" t="s">
        <v>60</v>
      </c>
      <c r="I141" s="1" t="s">
        <v>34</v>
      </c>
      <c r="J141" s="1" t="s">
        <v>61</v>
      </c>
      <c r="K141" s="1" t="s">
        <v>53</v>
      </c>
      <c r="L141" s="1" t="s">
        <v>60</v>
      </c>
      <c r="M141" s="1" t="s">
        <v>34</v>
      </c>
      <c r="N141" s="1" t="s">
        <v>61</v>
      </c>
      <c r="O141" s="1" t="s">
        <v>53</v>
      </c>
      <c r="P141" s="1" t="s">
        <v>60</v>
      </c>
      <c r="Q141" s="1" t="s">
        <v>34</v>
      </c>
      <c r="R141" s="1" t="s">
        <v>61</v>
      </c>
      <c r="S141" s="1" t="s">
        <v>53</v>
      </c>
      <c r="T141" s="1" t="s">
        <v>60</v>
      </c>
      <c r="U141" s="1" t="s">
        <v>34</v>
      </c>
      <c r="V141" s="1" t="s">
        <v>61</v>
      </c>
      <c r="W141" s="1" t="s">
        <v>53</v>
      </c>
      <c r="X141" s="1" t="s">
        <v>60</v>
      </c>
      <c r="Y141" s="1" t="s">
        <v>34</v>
      </c>
      <c r="Z141" s="1" t="s">
        <v>61</v>
      </c>
      <c r="AA141" s="1" t="s">
        <v>53</v>
      </c>
      <c r="AB141" s="1" t="s">
        <v>60</v>
      </c>
      <c r="AC141" s="1" t="s">
        <v>34</v>
      </c>
      <c r="AD141" s="1" t="s">
        <v>60</v>
      </c>
      <c r="AE141" s="1" t="s">
        <v>34</v>
      </c>
      <c r="AF141" s="1" t="s">
        <v>61</v>
      </c>
      <c r="AG141" s="1" t="s">
        <v>53</v>
      </c>
      <c r="AH141" s="1" t="s">
        <v>60</v>
      </c>
      <c r="AI141" s="1" t="s">
        <v>34</v>
      </c>
      <c r="AJ141" s="1" t="s">
        <v>61</v>
      </c>
      <c r="AK141" s="1" t="s">
        <v>53</v>
      </c>
      <c r="AL141" s="1">
        <v>31</v>
      </c>
      <c r="AM141" s="1">
        <v>31</v>
      </c>
      <c r="AN141" s="168">
        <f t="shared" si="31"/>
        <v>0</v>
      </c>
      <c r="AO141" s="168">
        <f t="shared" si="32"/>
        <v>0</v>
      </c>
      <c r="AP141" s="168">
        <f t="shared" si="33"/>
        <v>0</v>
      </c>
      <c r="AQ141" s="168">
        <f t="shared" si="34"/>
        <v>0</v>
      </c>
      <c r="AR141" s="168"/>
      <c r="AS141" s="168">
        <f t="shared" si="35"/>
        <v>0</v>
      </c>
      <c r="AT141" s="168"/>
      <c r="AU141" s="168"/>
      <c r="AV141" s="168"/>
      <c r="AW141" s="168">
        <f t="shared" si="36"/>
        <v>0</v>
      </c>
      <c r="AX141" s="168"/>
      <c r="AY141" s="168"/>
      <c r="AZ141" s="168">
        <f t="shared" si="37"/>
        <v>0</v>
      </c>
      <c r="BA141" s="172"/>
    </row>
    <row r="142" s="135" customFormat="1" ht="12.95" customHeight="1" spans="1:248">
      <c r="A142" s="157">
        <f t="shared" si="40"/>
        <v>137</v>
      </c>
      <c r="B142" s="158" t="s">
        <v>48</v>
      </c>
      <c r="C142" s="159">
        <v>7612014</v>
      </c>
      <c r="D142" s="1" t="s">
        <v>217</v>
      </c>
      <c r="E142" s="1" t="s">
        <v>51</v>
      </c>
      <c r="F142" s="1" t="s">
        <v>52</v>
      </c>
      <c r="G142" s="1" t="s">
        <v>34</v>
      </c>
      <c r="H142" s="1" t="s">
        <v>61</v>
      </c>
      <c r="I142" s="1" t="s">
        <v>53</v>
      </c>
      <c r="J142" s="1" t="s">
        <v>60</v>
      </c>
      <c r="K142" s="1" t="s">
        <v>34</v>
      </c>
      <c r="L142" s="1" t="s">
        <v>61</v>
      </c>
      <c r="M142" s="1" t="s">
        <v>53</v>
      </c>
      <c r="N142" s="1" t="s">
        <v>60</v>
      </c>
      <c r="O142" s="1" t="s">
        <v>34</v>
      </c>
      <c r="P142" s="1" t="s">
        <v>61</v>
      </c>
      <c r="Q142" s="1" t="s">
        <v>53</v>
      </c>
      <c r="R142" s="1" t="s">
        <v>60</v>
      </c>
      <c r="S142" s="1" t="s">
        <v>34</v>
      </c>
      <c r="T142" s="1" t="s">
        <v>61</v>
      </c>
      <c r="U142" s="1" t="s">
        <v>53</v>
      </c>
      <c r="V142" s="1" t="s">
        <v>60</v>
      </c>
      <c r="W142" s="1" t="s">
        <v>34</v>
      </c>
      <c r="X142" s="1" t="s">
        <v>61</v>
      </c>
      <c r="Y142" s="1" t="s">
        <v>53</v>
      </c>
      <c r="Z142" s="1" t="s">
        <v>60</v>
      </c>
      <c r="AA142" s="1" t="s">
        <v>34</v>
      </c>
      <c r="AB142" s="1" t="s">
        <v>61</v>
      </c>
      <c r="AC142" s="1" t="s">
        <v>53</v>
      </c>
      <c r="AD142" s="1" t="s">
        <v>60</v>
      </c>
      <c r="AE142" s="1" t="s">
        <v>34</v>
      </c>
      <c r="AF142" s="1" t="s">
        <v>61</v>
      </c>
      <c r="AG142" s="1" t="s">
        <v>53</v>
      </c>
      <c r="AH142" s="1" t="s">
        <v>60</v>
      </c>
      <c r="AI142" s="1" t="s">
        <v>34</v>
      </c>
      <c r="AJ142" s="1" t="s">
        <v>61</v>
      </c>
      <c r="AK142" s="1" t="s">
        <v>53</v>
      </c>
      <c r="AL142" s="1">
        <v>31</v>
      </c>
      <c r="AM142" s="1">
        <v>31</v>
      </c>
      <c r="AN142" s="168">
        <f t="shared" si="31"/>
        <v>0</v>
      </c>
      <c r="AO142" s="168">
        <f t="shared" si="32"/>
        <v>0</v>
      </c>
      <c r="AP142" s="168">
        <f t="shared" si="33"/>
        <v>0</v>
      </c>
      <c r="AQ142" s="168">
        <f t="shared" si="34"/>
        <v>0</v>
      </c>
      <c r="AR142" s="168"/>
      <c r="AS142" s="168">
        <f t="shared" si="35"/>
        <v>0</v>
      </c>
      <c r="AT142" s="168"/>
      <c r="AU142" s="168"/>
      <c r="AV142" s="168"/>
      <c r="AW142" s="168">
        <f t="shared" si="36"/>
        <v>0</v>
      </c>
      <c r="AX142" s="168"/>
      <c r="AY142" s="168"/>
      <c r="AZ142" s="168">
        <f t="shared" si="37"/>
        <v>0</v>
      </c>
      <c r="BA142" s="172"/>
      <c r="IH142" s="142"/>
      <c r="II142" s="142"/>
      <c r="IJ142" s="142"/>
      <c r="IK142" s="142"/>
      <c r="IL142" s="142"/>
      <c r="IM142" s="142"/>
      <c r="IN142" s="142"/>
    </row>
    <row r="143" s="135" customFormat="1" ht="12.95" customHeight="1" spans="1:248">
      <c r="A143" s="157">
        <f t="shared" si="40"/>
        <v>138</v>
      </c>
      <c r="B143" s="158" t="s">
        <v>48</v>
      </c>
      <c r="C143" s="159">
        <v>7612101</v>
      </c>
      <c r="D143" s="1" t="s">
        <v>218</v>
      </c>
      <c r="E143" s="1" t="s">
        <v>51</v>
      </c>
      <c r="F143" s="1" t="s">
        <v>52</v>
      </c>
      <c r="G143" s="1" t="s">
        <v>60</v>
      </c>
      <c r="H143" s="1" t="s">
        <v>34</v>
      </c>
      <c r="I143" s="1" t="s">
        <v>61</v>
      </c>
      <c r="J143" s="1" t="s">
        <v>53</v>
      </c>
      <c r="K143" s="1" t="s">
        <v>60</v>
      </c>
      <c r="L143" s="1" t="s">
        <v>34</v>
      </c>
      <c r="M143" s="1" t="s">
        <v>61</v>
      </c>
      <c r="N143" s="1" t="s">
        <v>53</v>
      </c>
      <c r="O143" s="1" t="s">
        <v>60</v>
      </c>
      <c r="P143" s="1" t="s">
        <v>34</v>
      </c>
      <c r="Q143" s="1" t="s">
        <v>61</v>
      </c>
      <c r="R143" s="1" t="s">
        <v>53</v>
      </c>
      <c r="S143" s="1" t="s">
        <v>60</v>
      </c>
      <c r="T143" s="1" t="s">
        <v>34</v>
      </c>
      <c r="U143" s="1" t="s">
        <v>61</v>
      </c>
      <c r="V143" s="1" t="s">
        <v>53</v>
      </c>
      <c r="W143" s="1" t="s">
        <v>60</v>
      </c>
      <c r="X143" s="1" t="s">
        <v>34</v>
      </c>
      <c r="Y143" s="1" t="s">
        <v>61</v>
      </c>
      <c r="Z143" s="1" t="s">
        <v>53</v>
      </c>
      <c r="AA143" s="1" t="s">
        <v>60</v>
      </c>
      <c r="AB143" s="1" t="s">
        <v>34</v>
      </c>
      <c r="AC143" s="1" t="s">
        <v>60</v>
      </c>
      <c r="AD143" s="1" t="s">
        <v>61</v>
      </c>
      <c r="AE143" s="1" t="s">
        <v>53</v>
      </c>
      <c r="AF143" s="1" t="s">
        <v>60</v>
      </c>
      <c r="AG143" s="1" t="s">
        <v>34</v>
      </c>
      <c r="AH143" s="1" t="s">
        <v>61</v>
      </c>
      <c r="AI143" s="1" t="s">
        <v>53</v>
      </c>
      <c r="AJ143" s="1" t="s">
        <v>60</v>
      </c>
      <c r="AK143" s="1" t="s">
        <v>34</v>
      </c>
      <c r="AL143" s="1">
        <v>31</v>
      </c>
      <c r="AM143" s="1">
        <v>31</v>
      </c>
      <c r="AN143" s="168">
        <f t="shared" si="31"/>
        <v>0</v>
      </c>
      <c r="AO143" s="168">
        <f t="shared" si="32"/>
        <v>0</v>
      </c>
      <c r="AP143" s="168">
        <f t="shared" si="33"/>
        <v>0</v>
      </c>
      <c r="AQ143" s="168">
        <f t="shared" si="34"/>
        <v>0</v>
      </c>
      <c r="AR143" s="168"/>
      <c r="AS143" s="168">
        <f t="shared" si="35"/>
        <v>0</v>
      </c>
      <c r="AT143" s="168"/>
      <c r="AU143" s="168"/>
      <c r="AV143" s="168"/>
      <c r="AW143" s="168">
        <f t="shared" si="36"/>
        <v>0</v>
      </c>
      <c r="AX143" s="168"/>
      <c r="AY143" s="168"/>
      <c r="AZ143" s="168">
        <f t="shared" si="37"/>
        <v>0</v>
      </c>
      <c r="BA143" s="172"/>
      <c r="IH143" s="142"/>
      <c r="II143" s="142"/>
      <c r="IJ143" s="142"/>
      <c r="IK143" s="142"/>
      <c r="IL143" s="142"/>
      <c r="IM143" s="142"/>
      <c r="IN143" s="142"/>
    </row>
    <row r="144" s="135" customFormat="1" ht="12.95" customHeight="1" spans="1:248">
      <c r="A144" s="157">
        <f t="shared" si="40"/>
        <v>139</v>
      </c>
      <c r="B144" s="158" t="s">
        <v>48</v>
      </c>
      <c r="C144" s="1">
        <v>7642875</v>
      </c>
      <c r="D144" s="1" t="s">
        <v>219</v>
      </c>
      <c r="E144" s="1" t="s">
        <v>51</v>
      </c>
      <c r="F144" s="1" t="s">
        <v>52</v>
      </c>
      <c r="G144" s="1" t="s">
        <v>34</v>
      </c>
      <c r="H144" s="1" t="s">
        <v>61</v>
      </c>
      <c r="I144" s="1" t="s">
        <v>53</v>
      </c>
      <c r="J144" s="1" t="s">
        <v>60</v>
      </c>
      <c r="K144" s="1" t="s">
        <v>34</v>
      </c>
      <c r="L144" s="1" t="s">
        <v>61</v>
      </c>
      <c r="M144" s="1" t="s">
        <v>53</v>
      </c>
      <c r="N144" s="1" t="s">
        <v>60</v>
      </c>
      <c r="O144" s="1" t="s">
        <v>34</v>
      </c>
      <c r="P144" s="1" t="s">
        <v>61</v>
      </c>
      <c r="Q144" s="1" t="s">
        <v>53</v>
      </c>
      <c r="R144" s="1" t="s">
        <v>60</v>
      </c>
      <c r="S144" s="1" t="s">
        <v>34</v>
      </c>
      <c r="T144" s="1" t="s">
        <v>61</v>
      </c>
      <c r="U144" s="1" t="s">
        <v>53</v>
      </c>
      <c r="V144" s="1" t="s">
        <v>60</v>
      </c>
      <c r="W144" s="1" t="s">
        <v>34</v>
      </c>
      <c r="X144" s="1" t="s">
        <v>61</v>
      </c>
      <c r="Y144" s="1" t="s">
        <v>53</v>
      </c>
      <c r="Z144" s="1" t="s">
        <v>60</v>
      </c>
      <c r="AA144" s="1" t="s">
        <v>34</v>
      </c>
      <c r="AB144" s="1" t="s">
        <v>56</v>
      </c>
      <c r="AC144" s="1" t="s">
        <v>56</v>
      </c>
      <c r="AD144" s="1" t="s">
        <v>56</v>
      </c>
      <c r="AE144" s="1" t="s">
        <v>56</v>
      </c>
      <c r="AF144" s="1" t="s">
        <v>61</v>
      </c>
      <c r="AG144" s="1" t="s">
        <v>53</v>
      </c>
      <c r="AH144" s="1" t="s">
        <v>60</v>
      </c>
      <c r="AI144" s="1" t="s">
        <v>34</v>
      </c>
      <c r="AJ144" s="1" t="s">
        <v>61</v>
      </c>
      <c r="AK144" s="1" t="s">
        <v>53</v>
      </c>
      <c r="AL144" s="177">
        <v>31</v>
      </c>
      <c r="AM144" s="1">
        <v>27</v>
      </c>
      <c r="AN144" s="168">
        <f t="shared" si="31"/>
        <v>0</v>
      </c>
      <c r="AO144" s="168">
        <f t="shared" si="32"/>
        <v>0</v>
      </c>
      <c r="AP144" s="168">
        <f t="shared" si="33"/>
        <v>0</v>
      </c>
      <c r="AQ144" s="168">
        <f t="shared" si="34"/>
        <v>4</v>
      </c>
      <c r="AR144" s="168"/>
      <c r="AS144" s="168">
        <f t="shared" si="35"/>
        <v>0</v>
      </c>
      <c r="AT144" s="168"/>
      <c r="AU144" s="168"/>
      <c r="AV144" s="168"/>
      <c r="AW144" s="168">
        <f t="shared" si="36"/>
        <v>0</v>
      </c>
      <c r="AX144" s="168"/>
      <c r="AY144" s="168"/>
      <c r="AZ144" s="168">
        <f t="shared" si="37"/>
        <v>4</v>
      </c>
      <c r="BA144" s="172"/>
      <c r="IH144" s="142"/>
      <c r="II144" s="142"/>
      <c r="IJ144" s="142"/>
      <c r="IK144" s="142"/>
      <c r="IL144" s="142"/>
      <c r="IM144" s="142"/>
      <c r="IN144" s="142"/>
    </row>
    <row r="145" s="135" customFormat="1" ht="12.95" customHeight="1" spans="1:248">
      <c r="A145" s="157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60"/>
      <c r="AE145" s="160"/>
      <c r="AF145" s="160"/>
      <c r="AG145" s="160"/>
      <c r="AH145" s="160"/>
      <c r="AI145" s="160"/>
      <c r="AJ145" s="160"/>
      <c r="AK145" s="160"/>
      <c r="AL145" s="1"/>
      <c r="AM145" s="1"/>
      <c r="AN145" s="168"/>
      <c r="AO145" s="168"/>
      <c r="AP145" s="168"/>
      <c r="AQ145" s="168"/>
      <c r="AR145" s="168"/>
      <c r="AS145" s="168"/>
      <c r="AT145" s="168"/>
      <c r="AU145" s="168"/>
      <c r="AV145" s="168"/>
      <c r="AW145" s="168"/>
      <c r="AX145" s="168"/>
      <c r="AY145" s="168"/>
      <c r="AZ145" s="168"/>
      <c r="BA145" s="141"/>
      <c r="IH145" s="142"/>
      <c r="II145" s="142"/>
      <c r="IJ145" s="142"/>
      <c r="IK145" s="142"/>
      <c r="IL145" s="142"/>
      <c r="IM145" s="142"/>
      <c r="IN145" s="142"/>
    </row>
    <row r="146" s="135" customFormat="1" ht="12.95" customHeight="1" spans="1:248">
      <c r="A146" s="157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68"/>
      <c r="AO146" s="168"/>
      <c r="AP146" s="168"/>
      <c r="AQ146" s="168"/>
      <c r="AR146" s="168"/>
      <c r="AS146" s="168"/>
      <c r="AT146" s="168"/>
      <c r="AU146" s="168"/>
      <c r="AV146" s="168"/>
      <c r="AW146" s="168"/>
      <c r="AX146" s="168"/>
      <c r="AY146" s="168"/>
      <c r="AZ146" s="168"/>
      <c r="BA146" s="141"/>
      <c r="IH146" s="142"/>
      <c r="II146" s="142"/>
      <c r="IJ146" s="142"/>
      <c r="IK146" s="142"/>
      <c r="IL146" s="142"/>
      <c r="IM146" s="142"/>
      <c r="IN146" s="142"/>
    </row>
    <row r="147" s="135" customFormat="1" ht="12.95" customHeight="1" spans="1:248">
      <c r="A147" s="157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68"/>
      <c r="AO147" s="168"/>
      <c r="AP147" s="168"/>
      <c r="AQ147" s="168"/>
      <c r="AR147" s="168"/>
      <c r="AS147" s="168"/>
      <c r="AT147" s="168"/>
      <c r="AU147" s="168"/>
      <c r="AV147" s="168"/>
      <c r="AW147" s="168"/>
      <c r="AX147" s="168"/>
      <c r="AY147" s="168"/>
      <c r="AZ147" s="168"/>
      <c r="BA147" s="141"/>
      <c r="IH147" s="142"/>
      <c r="II147" s="142"/>
      <c r="IJ147" s="142"/>
      <c r="IK147" s="142"/>
      <c r="IL147" s="142"/>
      <c r="IM147" s="142"/>
      <c r="IN147" s="142"/>
    </row>
    <row r="148" s="135" customFormat="1" ht="12.95" customHeight="1" spans="1:248">
      <c r="A148" s="157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68"/>
      <c r="AO148" s="168"/>
      <c r="AP148" s="168"/>
      <c r="AQ148" s="168"/>
      <c r="AR148" s="168"/>
      <c r="AS148" s="168"/>
      <c r="AT148" s="168"/>
      <c r="AU148" s="168"/>
      <c r="AV148" s="168"/>
      <c r="AW148" s="168"/>
      <c r="AX148" s="168"/>
      <c r="AY148" s="168"/>
      <c r="AZ148" s="168"/>
      <c r="BA148" s="141"/>
      <c r="IH148" s="142"/>
      <c r="II148" s="142"/>
      <c r="IJ148" s="142"/>
      <c r="IK148" s="142"/>
      <c r="IL148" s="142"/>
      <c r="IM148" s="142"/>
      <c r="IN148" s="142"/>
    </row>
    <row r="149" s="135" customFormat="1" ht="12.95" customHeight="1" spans="1:248">
      <c r="A149" s="157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68"/>
      <c r="AO149" s="168"/>
      <c r="AP149" s="168"/>
      <c r="AQ149" s="168"/>
      <c r="AR149" s="168"/>
      <c r="AS149" s="168"/>
      <c r="AT149" s="168"/>
      <c r="AU149" s="168"/>
      <c r="AV149" s="168"/>
      <c r="AW149" s="168"/>
      <c r="AX149" s="168"/>
      <c r="AY149" s="168"/>
      <c r="AZ149" s="168"/>
      <c r="BA149" s="141"/>
      <c r="IH149" s="142"/>
      <c r="II149" s="142"/>
      <c r="IJ149" s="142"/>
      <c r="IK149" s="142"/>
      <c r="IL149" s="142"/>
      <c r="IM149" s="142"/>
      <c r="IN149" s="142"/>
    </row>
    <row r="150" s="135" customFormat="1" ht="12.95" customHeight="1" spans="1:248">
      <c r="A150" s="157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68"/>
      <c r="AO150" s="168"/>
      <c r="AP150" s="168"/>
      <c r="AQ150" s="168"/>
      <c r="AR150" s="168"/>
      <c r="AS150" s="168"/>
      <c r="AT150" s="168"/>
      <c r="AU150" s="168"/>
      <c r="AV150" s="168"/>
      <c r="AW150" s="168"/>
      <c r="AX150" s="168"/>
      <c r="AY150" s="168"/>
      <c r="AZ150" s="168"/>
      <c r="BA150" s="141"/>
      <c r="IH150" s="142"/>
      <c r="II150" s="142"/>
      <c r="IJ150" s="142"/>
      <c r="IK150" s="142"/>
      <c r="IL150" s="142"/>
      <c r="IM150" s="142"/>
      <c r="IN150" s="142"/>
    </row>
    <row r="151" s="135" customFormat="1" ht="12.95" customHeight="1" spans="1:248">
      <c r="A151" s="157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68"/>
      <c r="AO151" s="168"/>
      <c r="AP151" s="168"/>
      <c r="AQ151" s="168"/>
      <c r="AR151" s="168"/>
      <c r="AS151" s="168"/>
      <c r="AT151" s="168"/>
      <c r="AU151" s="168"/>
      <c r="AV151" s="168"/>
      <c r="AW151" s="168"/>
      <c r="AX151" s="168"/>
      <c r="AY151" s="168"/>
      <c r="AZ151" s="168"/>
      <c r="BA151" s="141"/>
      <c r="IH151" s="142"/>
      <c r="II151" s="142"/>
      <c r="IJ151" s="142"/>
      <c r="IK151" s="142"/>
      <c r="IL151" s="142"/>
      <c r="IM151" s="142"/>
      <c r="IN151" s="142"/>
    </row>
    <row r="152" s="135" customFormat="1" ht="12.95" customHeight="1" spans="1:248">
      <c r="A152" s="157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68"/>
      <c r="AO152" s="168"/>
      <c r="AP152" s="168"/>
      <c r="AQ152" s="168"/>
      <c r="AR152" s="168"/>
      <c r="AS152" s="168"/>
      <c r="AT152" s="168"/>
      <c r="AU152" s="168"/>
      <c r="AV152" s="168"/>
      <c r="AW152" s="168"/>
      <c r="AX152" s="168"/>
      <c r="AY152" s="168"/>
      <c r="AZ152" s="168"/>
      <c r="BA152" s="141"/>
      <c r="IH152" s="142"/>
      <c r="II152" s="142"/>
      <c r="IJ152" s="142"/>
      <c r="IK152" s="142"/>
      <c r="IL152" s="142"/>
      <c r="IM152" s="142"/>
      <c r="IN152" s="142"/>
    </row>
    <row r="153" s="135" customFormat="1" ht="12.95" customHeight="1" spans="1:248">
      <c r="A153" s="157"/>
      <c r="B153" s="160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68"/>
      <c r="AO153" s="168"/>
      <c r="AP153" s="168"/>
      <c r="AQ153" s="168"/>
      <c r="AR153" s="168"/>
      <c r="AS153" s="168"/>
      <c r="AT153" s="168"/>
      <c r="AU153" s="168"/>
      <c r="AV153" s="168"/>
      <c r="AW153" s="168"/>
      <c r="AX153" s="168"/>
      <c r="AY153" s="168"/>
      <c r="AZ153" s="168"/>
      <c r="BA153" s="141"/>
      <c r="IH153" s="142"/>
      <c r="II153" s="142"/>
      <c r="IJ153" s="142"/>
      <c r="IK153" s="142"/>
      <c r="IL153" s="142"/>
      <c r="IM153" s="142"/>
      <c r="IN153" s="142"/>
    </row>
    <row r="154" s="135" customFormat="1" ht="12.95" customHeight="1" spans="1:248">
      <c r="A154" s="157"/>
      <c r="B154" s="160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68"/>
      <c r="AO154" s="168"/>
      <c r="AP154" s="168"/>
      <c r="AQ154" s="168"/>
      <c r="AR154" s="168"/>
      <c r="AS154" s="168"/>
      <c r="AT154" s="168"/>
      <c r="AU154" s="168"/>
      <c r="AV154" s="168"/>
      <c r="AW154" s="168"/>
      <c r="AX154" s="168"/>
      <c r="AY154" s="168"/>
      <c r="AZ154" s="168"/>
      <c r="BA154" s="141"/>
      <c r="IH154" s="142"/>
      <c r="II154" s="142"/>
      <c r="IJ154" s="142"/>
      <c r="IK154" s="142"/>
      <c r="IL154" s="142"/>
      <c r="IM154" s="142"/>
      <c r="IN154" s="142"/>
    </row>
    <row r="155" s="135" customFormat="1" ht="12.95" customHeight="1" spans="1:248">
      <c r="A155" s="157"/>
      <c r="B155" s="179"/>
      <c r="C155" s="179"/>
      <c r="D155" s="179"/>
      <c r="E155" s="179"/>
      <c r="F155" s="17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79"/>
      <c r="AM155" s="1"/>
      <c r="AN155" s="168"/>
      <c r="AO155" s="168"/>
      <c r="AP155" s="168"/>
      <c r="AQ155" s="168"/>
      <c r="AR155" s="168"/>
      <c r="AS155" s="168"/>
      <c r="AT155" s="168"/>
      <c r="AU155" s="168"/>
      <c r="AV155" s="168"/>
      <c r="AW155" s="168"/>
      <c r="AX155" s="168"/>
      <c r="AY155" s="168"/>
      <c r="AZ155" s="168"/>
      <c r="BA155" s="141"/>
      <c r="IH155" s="142"/>
      <c r="II155" s="142"/>
      <c r="IJ155" s="142"/>
      <c r="IK155" s="142"/>
      <c r="IL155" s="142"/>
      <c r="IM155" s="142"/>
      <c r="IN155" s="142"/>
    </row>
    <row r="156" s="135" customFormat="1" ht="12.95" customHeight="1" spans="1:248">
      <c r="A156" s="157"/>
      <c r="B156" s="179"/>
      <c r="C156" s="179"/>
      <c r="D156" s="179"/>
      <c r="E156" s="179"/>
      <c r="F156" s="17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79"/>
      <c r="AM156" s="1"/>
      <c r="AN156" s="168"/>
      <c r="AO156" s="168"/>
      <c r="AP156" s="168"/>
      <c r="AQ156" s="168"/>
      <c r="AR156" s="168"/>
      <c r="AS156" s="168"/>
      <c r="AT156" s="168"/>
      <c r="AU156" s="168"/>
      <c r="AV156" s="168"/>
      <c r="AW156" s="168"/>
      <c r="AX156" s="168"/>
      <c r="AY156" s="168"/>
      <c r="AZ156" s="168"/>
      <c r="BA156" s="141"/>
      <c r="IH156" s="142"/>
      <c r="II156" s="142"/>
      <c r="IJ156" s="142"/>
      <c r="IK156" s="142"/>
      <c r="IL156" s="142"/>
      <c r="IM156" s="142"/>
      <c r="IN156" s="142"/>
    </row>
    <row r="157" s="135" customFormat="1" ht="12.95" customHeight="1" spans="1:248">
      <c r="A157" s="157"/>
      <c r="B157" s="179"/>
      <c r="C157" s="179"/>
      <c r="D157" s="179"/>
      <c r="E157" s="179"/>
      <c r="F157" s="17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79"/>
      <c r="AM157" s="1"/>
      <c r="AN157" s="168"/>
      <c r="AO157" s="168"/>
      <c r="AP157" s="168"/>
      <c r="AQ157" s="168"/>
      <c r="AR157" s="168"/>
      <c r="AS157" s="168"/>
      <c r="AT157" s="168"/>
      <c r="AU157" s="168"/>
      <c r="AV157" s="168"/>
      <c r="AW157" s="168"/>
      <c r="AX157" s="168"/>
      <c r="AY157" s="168"/>
      <c r="AZ157" s="168"/>
      <c r="BA157" s="141"/>
      <c r="IH157" s="142"/>
      <c r="II157" s="142"/>
      <c r="IJ157" s="142"/>
      <c r="IK157" s="142"/>
      <c r="IL157" s="142"/>
      <c r="IM157" s="142"/>
      <c r="IN157" s="142"/>
    </row>
    <row r="158" s="135" customFormat="1" ht="12.95" customHeight="1" spans="1:248">
      <c r="A158" s="157"/>
      <c r="B158" s="179"/>
      <c r="C158" s="179"/>
      <c r="D158" s="179"/>
      <c r="E158" s="179"/>
      <c r="F158" s="17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79"/>
      <c r="AM158" s="1"/>
      <c r="AN158" s="168"/>
      <c r="AO158" s="168"/>
      <c r="AP158" s="168"/>
      <c r="AQ158" s="168"/>
      <c r="AR158" s="168"/>
      <c r="AS158" s="168"/>
      <c r="AT158" s="168"/>
      <c r="AU158" s="168"/>
      <c r="AV158" s="168"/>
      <c r="AW158" s="168"/>
      <c r="AX158" s="168"/>
      <c r="AY158" s="168"/>
      <c r="AZ158" s="168"/>
      <c r="BA158" s="141"/>
      <c r="IH158" s="142"/>
      <c r="II158" s="142"/>
      <c r="IJ158" s="142"/>
      <c r="IK158" s="142"/>
      <c r="IL158" s="142"/>
      <c r="IM158" s="142"/>
      <c r="IN158" s="142"/>
    </row>
    <row r="159" s="135" customFormat="1" ht="12.95" customHeight="1" spans="1:248">
      <c r="A159" s="157"/>
      <c r="B159" s="179"/>
      <c r="C159" s="179"/>
      <c r="D159" s="179"/>
      <c r="E159" s="179"/>
      <c r="F159" s="17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79"/>
      <c r="AM159" s="1"/>
      <c r="AN159" s="168"/>
      <c r="AO159" s="168"/>
      <c r="AP159" s="168"/>
      <c r="AQ159" s="168"/>
      <c r="AR159" s="168"/>
      <c r="AS159" s="168"/>
      <c r="AT159" s="168"/>
      <c r="AU159" s="168"/>
      <c r="AV159" s="168"/>
      <c r="AW159" s="168"/>
      <c r="AX159" s="168"/>
      <c r="AY159" s="168"/>
      <c r="AZ159" s="168"/>
      <c r="BA159" s="141"/>
      <c r="IH159" s="142"/>
      <c r="II159" s="142"/>
      <c r="IJ159" s="142"/>
      <c r="IK159" s="142"/>
      <c r="IL159" s="142"/>
      <c r="IM159" s="142"/>
      <c r="IN159" s="142"/>
    </row>
    <row r="160" s="135" customFormat="1" ht="12.95" customHeight="1" spans="1:248">
      <c r="A160" s="157"/>
      <c r="B160" s="179"/>
      <c r="C160" s="179"/>
      <c r="D160" s="179"/>
      <c r="E160" s="179"/>
      <c r="F160" s="17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79"/>
      <c r="AM160" s="1"/>
      <c r="AN160" s="168"/>
      <c r="AO160" s="168"/>
      <c r="AP160" s="168"/>
      <c r="AQ160" s="168"/>
      <c r="AR160" s="168"/>
      <c r="AS160" s="168"/>
      <c r="AT160" s="168"/>
      <c r="AU160" s="168"/>
      <c r="AV160" s="168"/>
      <c r="AW160" s="168"/>
      <c r="AX160" s="168"/>
      <c r="AY160" s="168"/>
      <c r="AZ160" s="168">
        <f t="shared" ref="AZ145:AZ193" si="41">AN160+AO160+AP160+AQ160+AR160+AS160+AT160+AU160+AV160+AW160+AX160+AY160</f>
        <v>0</v>
      </c>
      <c r="BA160" s="141"/>
      <c r="IH160" s="142"/>
      <c r="II160" s="142"/>
      <c r="IJ160" s="142"/>
      <c r="IK160" s="142"/>
      <c r="IL160" s="142"/>
      <c r="IM160" s="142"/>
      <c r="IN160" s="142"/>
    </row>
    <row r="161" s="135" customFormat="1" ht="12.95" customHeight="1" spans="1:248">
      <c r="A161" s="157"/>
      <c r="B161" s="179"/>
      <c r="C161" s="179"/>
      <c r="D161" s="179"/>
      <c r="E161" s="179"/>
      <c r="F161" s="17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79"/>
      <c r="AM161" s="1"/>
      <c r="AN161" s="168"/>
      <c r="AO161" s="168"/>
      <c r="AP161" s="168"/>
      <c r="AQ161" s="168"/>
      <c r="AR161" s="168"/>
      <c r="AS161" s="168"/>
      <c r="AT161" s="168"/>
      <c r="AU161" s="168"/>
      <c r="AV161" s="168"/>
      <c r="AW161" s="168"/>
      <c r="AX161" s="168"/>
      <c r="AY161" s="168"/>
      <c r="AZ161" s="168">
        <f t="shared" si="41"/>
        <v>0</v>
      </c>
      <c r="BA161" s="141"/>
      <c r="IH161" s="142"/>
      <c r="II161" s="142"/>
      <c r="IJ161" s="142"/>
      <c r="IK161" s="142"/>
      <c r="IL161" s="142"/>
      <c r="IM161" s="142"/>
      <c r="IN161" s="142"/>
    </row>
    <row r="162" s="135" customFormat="1" ht="12.95" customHeight="1" spans="1:248">
      <c r="A162" s="157"/>
      <c r="B162" s="179"/>
      <c r="C162" s="179"/>
      <c r="D162" s="179"/>
      <c r="E162" s="179"/>
      <c r="F162" s="17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79"/>
      <c r="AM162" s="1"/>
      <c r="AN162" s="168"/>
      <c r="AO162" s="168"/>
      <c r="AP162" s="168"/>
      <c r="AQ162" s="168"/>
      <c r="AR162" s="168"/>
      <c r="AS162" s="168"/>
      <c r="AT162" s="168"/>
      <c r="AU162" s="168"/>
      <c r="AV162" s="168"/>
      <c r="AW162" s="168"/>
      <c r="AX162" s="168"/>
      <c r="AY162" s="168"/>
      <c r="AZ162" s="168">
        <f t="shared" si="41"/>
        <v>0</v>
      </c>
      <c r="BA162" s="141"/>
      <c r="IH162" s="142"/>
      <c r="II162" s="142"/>
      <c r="IJ162" s="142"/>
      <c r="IK162" s="142"/>
      <c r="IL162" s="142"/>
      <c r="IM162" s="142"/>
      <c r="IN162" s="142"/>
    </row>
    <row r="163" s="135" customFormat="1" ht="12.95" customHeight="1" spans="1:248">
      <c r="A163" s="157"/>
      <c r="B163" s="180"/>
      <c r="C163" s="180"/>
      <c r="D163" s="180"/>
      <c r="E163" s="180"/>
      <c r="F163" s="18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  <c r="AA163" s="160"/>
      <c r="AB163" s="160"/>
      <c r="AC163" s="160"/>
      <c r="AD163" s="160"/>
      <c r="AE163" s="160"/>
      <c r="AF163" s="160"/>
      <c r="AG163" s="160"/>
      <c r="AH163" s="160"/>
      <c r="AI163" s="160"/>
      <c r="AJ163" s="160"/>
      <c r="AK163" s="160"/>
      <c r="AL163" s="179"/>
      <c r="AM163" s="1"/>
      <c r="AN163" s="168"/>
      <c r="AO163" s="168"/>
      <c r="AP163" s="168"/>
      <c r="AQ163" s="168"/>
      <c r="AR163" s="168"/>
      <c r="AS163" s="168"/>
      <c r="AT163" s="168"/>
      <c r="AU163" s="168"/>
      <c r="AV163" s="168"/>
      <c r="AW163" s="168"/>
      <c r="AX163" s="168"/>
      <c r="AY163" s="168"/>
      <c r="AZ163" s="168">
        <f t="shared" si="41"/>
        <v>0</v>
      </c>
      <c r="BA163" s="141"/>
      <c r="IH163" s="142"/>
      <c r="II163" s="142"/>
      <c r="IJ163" s="142"/>
      <c r="IK163" s="142"/>
      <c r="IL163" s="142"/>
      <c r="IM163" s="142"/>
      <c r="IN163" s="142"/>
    </row>
    <row r="164" s="135" customFormat="1" ht="12.95" customHeight="1" spans="1:248">
      <c r="A164" s="157"/>
      <c r="B164" s="180"/>
      <c r="C164" s="180"/>
      <c r="D164" s="180"/>
      <c r="E164" s="180"/>
      <c r="F164" s="18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  <c r="AD164" s="160"/>
      <c r="AE164" s="160"/>
      <c r="AF164" s="160"/>
      <c r="AG164" s="160"/>
      <c r="AH164" s="160"/>
      <c r="AI164" s="160"/>
      <c r="AJ164" s="160"/>
      <c r="AK164" s="160"/>
      <c r="AL164" s="179"/>
      <c r="AM164" s="1"/>
      <c r="AN164" s="168"/>
      <c r="AO164" s="168"/>
      <c r="AP164" s="168"/>
      <c r="AQ164" s="168"/>
      <c r="AR164" s="168"/>
      <c r="AS164" s="168"/>
      <c r="AT164" s="168"/>
      <c r="AU164" s="168"/>
      <c r="AV164" s="168"/>
      <c r="AW164" s="168"/>
      <c r="AX164" s="168"/>
      <c r="AY164" s="168"/>
      <c r="AZ164" s="168">
        <f t="shared" si="41"/>
        <v>0</v>
      </c>
      <c r="BA164" s="141"/>
      <c r="IH164" s="142"/>
      <c r="II164" s="142"/>
      <c r="IJ164" s="142"/>
      <c r="IK164" s="142"/>
      <c r="IL164" s="142"/>
      <c r="IM164" s="142"/>
      <c r="IN164" s="142"/>
    </row>
    <row r="165" s="135" customFormat="1" ht="12.95" customHeight="1" spans="1:248">
      <c r="A165" s="157"/>
      <c r="B165" s="180"/>
      <c r="C165" s="180"/>
      <c r="D165" s="180"/>
      <c r="E165" s="180"/>
      <c r="F165" s="18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  <c r="AD165" s="160"/>
      <c r="AE165" s="160"/>
      <c r="AF165" s="160"/>
      <c r="AG165" s="160"/>
      <c r="AH165" s="160"/>
      <c r="AI165" s="160"/>
      <c r="AJ165" s="160"/>
      <c r="AK165" s="160"/>
      <c r="AL165" s="179"/>
      <c r="AM165" s="1"/>
      <c r="AN165" s="168"/>
      <c r="AO165" s="168"/>
      <c r="AP165" s="168"/>
      <c r="AQ165" s="168"/>
      <c r="AR165" s="168"/>
      <c r="AS165" s="168"/>
      <c r="AT165" s="168"/>
      <c r="AU165" s="168"/>
      <c r="AV165" s="168"/>
      <c r="AW165" s="168"/>
      <c r="AX165" s="168"/>
      <c r="AY165" s="168"/>
      <c r="AZ165" s="168">
        <f t="shared" si="41"/>
        <v>0</v>
      </c>
      <c r="BA165" s="141"/>
      <c r="IH165" s="142"/>
      <c r="II165" s="142"/>
      <c r="IJ165" s="142"/>
      <c r="IK165" s="142"/>
      <c r="IL165" s="142"/>
      <c r="IM165" s="142"/>
      <c r="IN165" s="142"/>
    </row>
    <row r="166" s="135" customFormat="1" ht="12.95" customHeight="1" spans="1:248">
      <c r="A166" s="157"/>
      <c r="B166" s="180"/>
      <c r="C166" s="180"/>
      <c r="D166" s="180"/>
      <c r="E166" s="180"/>
      <c r="F166" s="18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  <c r="AD166" s="160"/>
      <c r="AE166" s="160"/>
      <c r="AF166" s="160"/>
      <c r="AG166" s="160"/>
      <c r="AH166" s="160"/>
      <c r="AI166" s="160"/>
      <c r="AJ166" s="160"/>
      <c r="AK166" s="160"/>
      <c r="AL166" s="179"/>
      <c r="AM166" s="1"/>
      <c r="AN166" s="168"/>
      <c r="AO166" s="168"/>
      <c r="AP166" s="168"/>
      <c r="AQ166" s="168"/>
      <c r="AR166" s="168"/>
      <c r="AS166" s="168"/>
      <c r="AT166" s="168"/>
      <c r="AU166" s="168"/>
      <c r="AV166" s="168"/>
      <c r="AW166" s="168"/>
      <c r="AX166" s="168"/>
      <c r="AY166" s="168"/>
      <c r="AZ166" s="168">
        <f t="shared" si="41"/>
        <v>0</v>
      </c>
      <c r="BA166" s="141"/>
      <c r="IH166" s="142"/>
      <c r="II166" s="142"/>
      <c r="IJ166" s="142"/>
      <c r="IK166" s="142"/>
      <c r="IL166" s="142"/>
      <c r="IM166" s="142"/>
      <c r="IN166" s="142"/>
    </row>
    <row r="167" s="135" customFormat="1" ht="12.95" customHeight="1" spans="1:248">
      <c r="A167" s="157"/>
      <c r="B167" s="180"/>
      <c r="C167" s="180"/>
      <c r="D167" s="180"/>
      <c r="E167" s="180"/>
      <c r="F167" s="18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  <c r="AD167" s="160"/>
      <c r="AE167" s="160"/>
      <c r="AF167" s="160"/>
      <c r="AG167" s="160"/>
      <c r="AH167" s="160"/>
      <c r="AI167" s="160"/>
      <c r="AJ167" s="160"/>
      <c r="AK167" s="160"/>
      <c r="AL167" s="179"/>
      <c r="AM167" s="1"/>
      <c r="AN167" s="168"/>
      <c r="AO167" s="168"/>
      <c r="AP167" s="168"/>
      <c r="AQ167" s="168"/>
      <c r="AR167" s="168"/>
      <c r="AS167" s="168"/>
      <c r="AT167" s="168"/>
      <c r="AU167" s="168"/>
      <c r="AV167" s="168"/>
      <c r="AW167" s="168"/>
      <c r="AX167" s="168"/>
      <c r="AY167" s="168"/>
      <c r="AZ167" s="168">
        <f t="shared" si="41"/>
        <v>0</v>
      </c>
      <c r="BA167" s="141"/>
      <c r="IH167" s="142"/>
      <c r="II167" s="142"/>
      <c r="IJ167" s="142"/>
      <c r="IK167" s="142"/>
      <c r="IL167" s="142"/>
      <c r="IM167" s="142"/>
      <c r="IN167" s="142"/>
    </row>
    <row r="168" s="135" customFormat="1" ht="12.95" customHeight="1" spans="1:248">
      <c r="A168" s="157"/>
      <c r="B168" s="180"/>
      <c r="C168" s="180"/>
      <c r="D168" s="180"/>
      <c r="E168" s="180"/>
      <c r="F168" s="18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  <c r="AD168" s="160"/>
      <c r="AE168" s="160"/>
      <c r="AF168" s="160"/>
      <c r="AG168" s="160"/>
      <c r="AH168" s="160"/>
      <c r="AI168" s="160"/>
      <c r="AJ168" s="160"/>
      <c r="AK168" s="160"/>
      <c r="AL168" s="179"/>
      <c r="AM168" s="1"/>
      <c r="AN168" s="168"/>
      <c r="AO168" s="168"/>
      <c r="AP168" s="168"/>
      <c r="AQ168" s="168"/>
      <c r="AR168" s="168"/>
      <c r="AS168" s="168"/>
      <c r="AT168" s="168"/>
      <c r="AU168" s="168"/>
      <c r="AV168" s="168"/>
      <c r="AW168" s="168"/>
      <c r="AX168" s="168"/>
      <c r="AY168" s="168"/>
      <c r="AZ168" s="168">
        <f t="shared" si="41"/>
        <v>0</v>
      </c>
      <c r="BA168" s="141"/>
      <c r="IH168" s="142"/>
      <c r="II168" s="142"/>
      <c r="IJ168" s="142"/>
      <c r="IK168" s="142"/>
      <c r="IL168" s="142"/>
      <c r="IM168" s="142"/>
      <c r="IN168" s="142"/>
    </row>
    <row r="169" s="135" customFormat="1" ht="12.95" customHeight="1" spans="1:248">
      <c r="A169" s="157"/>
      <c r="B169" s="180"/>
      <c r="C169" s="180"/>
      <c r="D169" s="180"/>
      <c r="E169" s="180"/>
      <c r="F169" s="18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  <c r="AD169" s="160"/>
      <c r="AE169" s="160"/>
      <c r="AF169" s="160"/>
      <c r="AG169" s="160"/>
      <c r="AH169" s="160"/>
      <c r="AI169" s="160"/>
      <c r="AJ169" s="160"/>
      <c r="AK169" s="160"/>
      <c r="AL169" s="179"/>
      <c r="AM169" s="1"/>
      <c r="AN169" s="168"/>
      <c r="AO169" s="168"/>
      <c r="AP169" s="168"/>
      <c r="AQ169" s="168"/>
      <c r="AR169" s="168"/>
      <c r="AS169" s="168"/>
      <c r="AT169" s="168"/>
      <c r="AU169" s="168"/>
      <c r="AV169" s="168"/>
      <c r="AW169" s="168"/>
      <c r="AX169" s="168"/>
      <c r="AY169" s="168"/>
      <c r="AZ169" s="168">
        <f t="shared" si="41"/>
        <v>0</v>
      </c>
      <c r="BA169" s="141"/>
      <c r="IH169" s="142"/>
      <c r="II169" s="142"/>
      <c r="IJ169" s="142"/>
      <c r="IK169" s="142"/>
      <c r="IL169" s="142"/>
      <c r="IM169" s="142"/>
      <c r="IN169" s="142"/>
    </row>
    <row r="170" s="135" customFormat="1" ht="12.95" customHeight="1" spans="1:248">
      <c r="A170" s="157"/>
      <c r="B170" s="180"/>
      <c r="C170" s="180"/>
      <c r="D170" s="180"/>
      <c r="E170" s="180"/>
      <c r="F170" s="18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  <c r="AD170" s="160"/>
      <c r="AE170" s="160"/>
      <c r="AF170" s="160"/>
      <c r="AG170" s="160"/>
      <c r="AH170" s="160"/>
      <c r="AI170" s="160"/>
      <c r="AJ170" s="160"/>
      <c r="AK170" s="160"/>
      <c r="AL170" s="179"/>
      <c r="AM170" s="1"/>
      <c r="AN170" s="168"/>
      <c r="AO170" s="168"/>
      <c r="AP170" s="168"/>
      <c r="AQ170" s="168"/>
      <c r="AR170" s="168"/>
      <c r="AS170" s="168"/>
      <c r="AT170" s="168"/>
      <c r="AU170" s="168"/>
      <c r="AV170" s="168"/>
      <c r="AW170" s="168"/>
      <c r="AX170" s="168"/>
      <c r="AY170" s="168"/>
      <c r="AZ170" s="168">
        <f t="shared" si="41"/>
        <v>0</v>
      </c>
      <c r="BA170" s="141"/>
      <c r="IH170" s="142"/>
      <c r="II170" s="142"/>
      <c r="IJ170" s="142"/>
      <c r="IK170" s="142"/>
      <c r="IL170" s="142"/>
      <c r="IM170" s="142"/>
      <c r="IN170" s="142"/>
    </row>
    <row r="171" s="135" customFormat="1" ht="12.95" customHeight="1" spans="1:248">
      <c r="A171" s="157"/>
      <c r="B171" s="180"/>
      <c r="C171" s="180"/>
      <c r="D171" s="180"/>
      <c r="E171" s="180"/>
      <c r="F171" s="18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0"/>
      <c r="AH171" s="160"/>
      <c r="AI171" s="160"/>
      <c r="AJ171" s="160"/>
      <c r="AK171" s="160"/>
      <c r="AL171" s="179"/>
      <c r="AM171" s="1"/>
      <c r="AN171" s="168"/>
      <c r="AO171" s="168"/>
      <c r="AP171" s="168"/>
      <c r="AQ171" s="168"/>
      <c r="AR171" s="168"/>
      <c r="AS171" s="168"/>
      <c r="AT171" s="168"/>
      <c r="AU171" s="168"/>
      <c r="AV171" s="168"/>
      <c r="AW171" s="168"/>
      <c r="AX171" s="168"/>
      <c r="AY171" s="168"/>
      <c r="AZ171" s="168">
        <f t="shared" si="41"/>
        <v>0</v>
      </c>
      <c r="BA171" s="141"/>
      <c r="IH171" s="142"/>
      <c r="II171" s="142"/>
      <c r="IJ171" s="142"/>
      <c r="IK171" s="142"/>
      <c r="IL171" s="142"/>
      <c r="IM171" s="142"/>
      <c r="IN171" s="142"/>
    </row>
    <row r="172" s="135" customFormat="1" ht="12.95" customHeight="1" spans="1:248">
      <c r="A172" s="157"/>
      <c r="B172" s="180"/>
      <c r="C172" s="180"/>
      <c r="D172" s="180"/>
      <c r="E172" s="180"/>
      <c r="F172" s="18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  <c r="AD172" s="160"/>
      <c r="AE172" s="160"/>
      <c r="AF172" s="160"/>
      <c r="AG172" s="160"/>
      <c r="AH172" s="160"/>
      <c r="AI172" s="160"/>
      <c r="AJ172" s="160"/>
      <c r="AK172" s="160"/>
      <c r="AL172" s="179"/>
      <c r="AM172" s="1"/>
      <c r="AN172" s="168"/>
      <c r="AO172" s="168"/>
      <c r="AP172" s="168"/>
      <c r="AQ172" s="168"/>
      <c r="AR172" s="168"/>
      <c r="AS172" s="168"/>
      <c r="AT172" s="168"/>
      <c r="AU172" s="168"/>
      <c r="AV172" s="168"/>
      <c r="AW172" s="168"/>
      <c r="AX172" s="168"/>
      <c r="AY172" s="168"/>
      <c r="AZ172" s="168">
        <f t="shared" si="41"/>
        <v>0</v>
      </c>
      <c r="BA172" s="141"/>
      <c r="IH172" s="142"/>
      <c r="II172" s="142"/>
      <c r="IJ172" s="142"/>
      <c r="IK172" s="142"/>
      <c r="IL172" s="142"/>
      <c r="IM172" s="142"/>
      <c r="IN172" s="142"/>
    </row>
    <row r="173" s="135" customFormat="1" ht="12.95" customHeight="1" spans="1:248">
      <c r="A173" s="157"/>
      <c r="B173" s="180"/>
      <c r="C173" s="180"/>
      <c r="D173" s="180"/>
      <c r="E173" s="180"/>
      <c r="F173" s="18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  <c r="AD173" s="160"/>
      <c r="AE173" s="160"/>
      <c r="AF173" s="160"/>
      <c r="AG173" s="160"/>
      <c r="AH173" s="160"/>
      <c r="AI173" s="160"/>
      <c r="AJ173" s="160"/>
      <c r="AK173" s="160"/>
      <c r="AL173" s="179"/>
      <c r="AM173" s="1"/>
      <c r="AN173" s="168"/>
      <c r="AO173" s="168"/>
      <c r="AP173" s="168"/>
      <c r="AQ173" s="168"/>
      <c r="AR173" s="168"/>
      <c r="AS173" s="168"/>
      <c r="AT173" s="168"/>
      <c r="AU173" s="168"/>
      <c r="AV173" s="168"/>
      <c r="AW173" s="168"/>
      <c r="AX173" s="168"/>
      <c r="AY173" s="168"/>
      <c r="AZ173" s="168">
        <f t="shared" si="41"/>
        <v>0</v>
      </c>
      <c r="BA173" s="141"/>
      <c r="IH173" s="142"/>
      <c r="II173" s="142"/>
      <c r="IJ173" s="142"/>
      <c r="IK173" s="142"/>
      <c r="IL173" s="142"/>
      <c r="IM173" s="142"/>
      <c r="IN173" s="142"/>
    </row>
    <row r="174" s="135" customFormat="1" ht="12.95" customHeight="1" spans="1:248">
      <c r="A174" s="157"/>
      <c r="B174" s="180"/>
      <c r="C174" s="180"/>
      <c r="D174" s="180"/>
      <c r="E174" s="180"/>
      <c r="F174" s="18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  <c r="AA174" s="160"/>
      <c r="AB174" s="160"/>
      <c r="AC174" s="160"/>
      <c r="AD174" s="160"/>
      <c r="AE174" s="160"/>
      <c r="AF174" s="160"/>
      <c r="AG174" s="160"/>
      <c r="AH174" s="160"/>
      <c r="AI174" s="160"/>
      <c r="AJ174" s="160"/>
      <c r="AK174" s="160"/>
      <c r="AL174" s="179"/>
      <c r="AM174" s="1"/>
      <c r="AN174" s="168"/>
      <c r="AO174" s="168"/>
      <c r="AP174" s="168"/>
      <c r="AQ174" s="168"/>
      <c r="AR174" s="168"/>
      <c r="AS174" s="168"/>
      <c r="AT174" s="168"/>
      <c r="AU174" s="168"/>
      <c r="AV174" s="168"/>
      <c r="AW174" s="168"/>
      <c r="AX174" s="168"/>
      <c r="AY174" s="168"/>
      <c r="AZ174" s="168">
        <f t="shared" si="41"/>
        <v>0</v>
      </c>
      <c r="BA174" s="141"/>
      <c r="IH174" s="142"/>
      <c r="II174" s="142"/>
      <c r="IJ174" s="142"/>
      <c r="IK174" s="142"/>
      <c r="IL174" s="142"/>
      <c r="IM174" s="142"/>
      <c r="IN174" s="142"/>
    </row>
    <row r="175" s="135" customFormat="1" ht="12.95" customHeight="1" spans="1:248">
      <c r="A175" s="157"/>
      <c r="B175" s="180"/>
      <c r="C175" s="180"/>
      <c r="D175" s="180"/>
      <c r="E175" s="180"/>
      <c r="F175" s="18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  <c r="AD175" s="160"/>
      <c r="AE175" s="160"/>
      <c r="AF175" s="160"/>
      <c r="AG175" s="160"/>
      <c r="AH175" s="160"/>
      <c r="AI175" s="160"/>
      <c r="AJ175" s="160"/>
      <c r="AK175" s="160"/>
      <c r="AL175" s="179"/>
      <c r="AM175" s="1"/>
      <c r="AN175" s="168"/>
      <c r="AO175" s="168"/>
      <c r="AP175" s="168"/>
      <c r="AQ175" s="168"/>
      <c r="AR175" s="168"/>
      <c r="AS175" s="168"/>
      <c r="AT175" s="168"/>
      <c r="AU175" s="168"/>
      <c r="AV175" s="168"/>
      <c r="AW175" s="168"/>
      <c r="AX175" s="168"/>
      <c r="AY175" s="168"/>
      <c r="AZ175" s="168">
        <f t="shared" si="41"/>
        <v>0</v>
      </c>
      <c r="BA175" s="141"/>
      <c r="IH175" s="142"/>
      <c r="II175" s="142"/>
      <c r="IJ175" s="142"/>
      <c r="IK175" s="142"/>
      <c r="IL175" s="142"/>
      <c r="IM175" s="142"/>
      <c r="IN175" s="142"/>
    </row>
    <row r="176" s="135" customFormat="1" ht="12.95" customHeight="1" spans="1:248">
      <c r="A176" s="157"/>
      <c r="B176" s="180"/>
      <c r="C176" s="180"/>
      <c r="D176" s="180"/>
      <c r="E176" s="180"/>
      <c r="F176" s="18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  <c r="AD176" s="160"/>
      <c r="AE176" s="160"/>
      <c r="AF176" s="160"/>
      <c r="AG176" s="160"/>
      <c r="AH176" s="160"/>
      <c r="AI176" s="160"/>
      <c r="AJ176" s="160"/>
      <c r="AK176" s="160"/>
      <c r="AL176" s="179"/>
      <c r="AM176" s="1"/>
      <c r="AN176" s="168"/>
      <c r="AO176" s="168"/>
      <c r="AP176" s="168"/>
      <c r="AQ176" s="168"/>
      <c r="AR176" s="168"/>
      <c r="AS176" s="168"/>
      <c r="AT176" s="168"/>
      <c r="AU176" s="168"/>
      <c r="AV176" s="168"/>
      <c r="AW176" s="168"/>
      <c r="AX176" s="168"/>
      <c r="AY176" s="168"/>
      <c r="AZ176" s="168">
        <f t="shared" si="41"/>
        <v>0</v>
      </c>
      <c r="BA176" s="141"/>
      <c r="IH176" s="142"/>
      <c r="II176" s="142"/>
      <c r="IJ176" s="142"/>
      <c r="IK176" s="142"/>
      <c r="IL176" s="142"/>
      <c r="IM176" s="142"/>
      <c r="IN176" s="142"/>
    </row>
    <row r="177" s="135" customFormat="1" ht="12.95" customHeight="1" spans="1:248">
      <c r="A177" s="157"/>
      <c r="B177" s="180"/>
      <c r="C177" s="180"/>
      <c r="D177" s="180"/>
      <c r="E177" s="180"/>
      <c r="F177" s="18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  <c r="AD177" s="160"/>
      <c r="AE177" s="160"/>
      <c r="AF177" s="160"/>
      <c r="AG177" s="160"/>
      <c r="AH177" s="160"/>
      <c r="AI177" s="160"/>
      <c r="AJ177" s="160"/>
      <c r="AK177" s="160"/>
      <c r="AL177" s="179"/>
      <c r="AM177" s="1"/>
      <c r="AN177" s="168"/>
      <c r="AO177" s="168"/>
      <c r="AP177" s="168"/>
      <c r="AQ177" s="168"/>
      <c r="AR177" s="168"/>
      <c r="AS177" s="168"/>
      <c r="AT177" s="168"/>
      <c r="AU177" s="168"/>
      <c r="AV177" s="168"/>
      <c r="AW177" s="168"/>
      <c r="AX177" s="168"/>
      <c r="AY177" s="168"/>
      <c r="AZ177" s="168">
        <f t="shared" si="41"/>
        <v>0</v>
      </c>
      <c r="BA177" s="141"/>
      <c r="IH177" s="142"/>
      <c r="II177" s="142"/>
      <c r="IJ177" s="142"/>
      <c r="IK177" s="142"/>
      <c r="IL177" s="142"/>
      <c r="IM177" s="142"/>
      <c r="IN177" s="142"/>
    </row>
    <row r="178" s="135" customFormat="1" ht="12.95" customHeight="1" spans="1:248">
      <c r="A178" s="157"/>
      <c r="B178" s="180"/>
      <c r="C178" s="180"/>
      <c r="D178" s="180"/>
      <c r="E178" s="180"/>
      <c r="F178" s="18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  <c r="AD178" s="160"/>
      <c r="AE178" s="160"/>
      <c r="AF178" s="160"/>
      <c r="AG178" s="160"/>
      <c r="AH178" s="160"/>
      <c r="AI178" s="160"/>
      <c r="AJ178" s="160"/>
      <c r="AK178" s="160"/>
      <c r="AL178" s="179"/>
      <c r="AM178" s="1"/>
      <c r="AN178" s="168"/>
      <c r="AO178" s="168"/>
      <c r="AP178" s="168"/>
      <c r="AQ178" s="168"/>
      <c r="AR178" s="168"/>
      <c r="AS178" s="168"/>
      <c r="AT178" s="168"/>
      <c r="AU178" s="168"/>
      <c r="AV178" s="168"/>
      <c r="AW178" s="168"/>
      <c r="AX178" s="168"/>
      <c r="AY178" s="168"/>
      <c r="AZ178" s="168">
        <f t="shared" si="41"/>
        <v>0</v>
      </c>
      <c r="BA178" s="141"/>
      <c r="IH178" s="142"/>
      <c r="II178" s="142"/>
      <c r="IJ178" s="142"/>
      <c r="IK178" s="142"/>
      <c r="IL178" s="142"/>
      <c r="IM178" s="142"/>
      <c r="IN178" s="142"/>
    </row>
    <row r="179" s="135" customFormat="1" ht="12.95" customHeight="1" spans="1:248">
      <c r="A179" s="157"/>
      <c r="B179" s="180"/>
      <c r="C179" s="180"/>
      <c r="D179" s="180"/>
      <c r="E179" s="180"/>
      <c r="F179" s="18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  <c r="AD179" s="160"/>
      <c r="AE179" s="160"/>
      <c r="AF179" s="160"/>
      <c r="AG179" s="160"/>
      <c r="AH179" s="160"/>
      <c r="AI179" s="160"/>
      <c r="AJ179" s="160"/>
      <c r="AK179" s="160"/>
      <c r="AL179" s="179"/>
      <c r="AM179" s="1"/>
      <c r="AN179" s="168"/>
      <c r="AO179" s="168"/>
      <c r="AP179" s="168"/>
      <c r="AQ179" s="168"/>
      <c r="AR179" s="168"/>
      <c r="AS179" s="168"/>
      <c r="AT179" s="168"/>
      <c r="AU179" s="168"/>
      <c r="AV179" s="168"/>
      <c r="AW179" s="168"/>
      <c r="AX179" s="168"/>
      <c r="AY179" s="168"/>
      <c r="AZ179" s="168">
        <f t="shared" si="41"/>
        <v>0</v>
      </c>
      <c r="BA179" s="141"/>
      <c r="IH179" s="142"/>
      <c r="II179" s="142"/>
      <c r="IJ179" s="142"/>
      <c r="IK179" s="142"/>
      <c r="IL179" s="142"/>
      <c r="IM179" s="142"/>
      <c r="IN179" s="142"/>
    </row>
    <row r="180" s="135" customFormat="1" ht="12.95" customHeight="1" spans="1:248">
      <c r="A180" s="157"/>
      <c r="B180" s="180"/>
      <c r="C180" s="180"/>
      <c r="D180" s="180"/>
      <c r="E180" s="180"/>
      <c r="F180" s="18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  <c r="AA180" s="160"/>
      <c r="AB180" s="160"/>
      <c r="AC180" s="160"/>
      <c r="AD180" s="160"/>
      <c r="AE180" s="160"/>
      <c r="AF180" s="160"/>
      <c r="AG180" s="160"/>
      <c r="AH180" s="160"/>
      <c r="AI180" s="160"/>
      <c r="AJ180" s="160"/>
      <c r="AK180" s="160"/>
      <c r="AL180" s="179"/>
      <c r="AM180" s="1"/>
      <c r="AN180" s="168"/>
      <c r="AO180" s="168"/>
      <c r="AP180" s="168"/>
      <c r="AQ180" s="168"/>
      <c r="AR180" s="168"/>
      <c r="AS180" s="168"/>
      <c r="AT180" s="168"/>
      <c r="AU180" s="168"/>
      <c r="AV180" s="168"/>
      <c r="AW180" s="168"/>
      <c r="AX180" s="168"/>
      <c r="AY180" s="168"/>
      <c r="AZ180" s="168">
        <f t="shared" si="41"/>
        <v>0</v>
      </c>
      <c r="BA180" s="141"/>
      <c r="IH180" s="142"/>
      <c r="II180" s="142"/>
      <c r="IJ180" s="142"/>
      <c r="IK180" s="142"/>
      <c r="IL180" s="142"/>
      <c r="IM180" s="142"/>
      <c r="IN180" s="142"/>
    </row>
    <row r="181" s="135" customFormat="1" ht="12.95" customHeight="1" spans="1:248">
      <c r="A181" s="157"/>
      <c r="B181" s="180"/>
      <c r="C181" s="180"/>
      <c r="D181" s="180"/>
      <c r="E181" s="180"/>
      <c r="F181" s="18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  <c r="AA181" s="160"/>
      <c r="AB181" s="160"/>
      <c r="AC181" s="160"/>
      <c r="AD181" s="160"/>
      <c r="AE181" s="160"/>
      <c r="AF181" s="160"/>
      <c r="AG181" s="160"/>
      <c r="AH181" s="160"/>
      <c r="AI181" s="160"/>
      <c r="AJ181" s="160"/>
      <c r="AK181" s="160"/>
      <c r="AL181" s="179"/>
      <c r="AM181" s="1"/>
      <c r="AN181" s="168"/>
      <c r="AO181" s="168"/>
      <c r="AP181" s="168"/>
      <c r="AQ181" s="168"/>
      <c r="AR181" s="168"/>
      <c r="AS181" s="168"/>
      <c r="AT181" s="168"/>
      <c r="AU181" s="168"/>
      <c r="AV181" s="168"/>
      <c r="AW181" s="168"/>
      <c r="AX181" s="168"/>
      <c r="AY181" s="168"/>
      <c r="AZ181" s="168">
        <f t="shared" si="41"/>
        <v>0</v>
      </c>
      <c r="BA181" s="141"/>
      <c r="IH181" s="142"/>
      <c r="II181" s="142"/>
      <c r="IJ181" s="142"/>
      <c r="IK181" s="142"/>
      <c r="IL181" s="142"/>
      <c r="IM181" s="142"/>
      <c r="IN181" s="142"/>
    </row>
    <row r="182" s="135" customFormat="1" ht="12.95" customHeight="1" spans="1:248">
      <c r="A182" s="157"/>
      <c r="B182" s="180"/>
      <c r="C182" s="180"/>
      <c r="D182" s="180"/>
      <c r="E182" s="180"/>
      <c r="F182" s="18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  <c r="AD182" s="160"/>
      <c r="AE182" s="160"/>
      <c r="AF182" s="160"/>
      <c r="AG182" s="160"/>
      <c r="AH182" s="160"/>
      <c r="AI182" s="160"/>
      <c r="AJ182" s="160"/>
      <c r="AK182" s="160"/>
      <c r="AL182" s="179"/>
      <c r="AM182" s="1"/>
      <c r="AN182" s="168"/>
      <c r="AO182" s="168"/>
      <c r="AP182" s="168"/>
      <c r="AQ182" s="168"/>
      <c r="AR182" s="168"/>
      <c r="AS182" s="168"/>
      <c r="AT182" s="168"/>
      <c r="AU182" s="168"/>
      <c r="AV182" s="168"/>
      <c r="AW182" s="168"/>
      <c r="AX182" s="168"/>
      <c r="AY182" s="168"/>
      <c r="AZ182" s="168">
        <f t="shared" si="41"/>
        <v>0</v>
      </c>
      <c r="BA182" s="141"/>
      <c r="IH182" s="142"/>
      <c r="II182" s="142"/>
      <c r="IJ182" s="142"/>
      <c r="IK182" s="142"/>
      <c r="IL182" s="142"/>
      <c r="IM182" s="142"/>
      <c r="IN182" s="142"/>
    </row>
    <row r="183" s="135" customFormat="1" ht="12.95" customHeight="1" spans="1:248">
      <c r="A183" s="157"/>
      <c r="B183" s="180"/>
      <c r="C183" s="180"/>
      <c r="D183" s="180"/>
      <c r="E183" s="180"/>
      <c r="F183" s="18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  <c r="AA183" s="160"/>
      <c r="AB183" s="160"/>
      <c r="AC183" s="160"/>
      <c r="AD183" s="160"/>
      <c r="AE183" s="160"/>
      <c r="AF183" s="160"/>
      <c r="AG183" s="160"/>
      <c r="AH183" s="160"/>
      <c r="AI183" s="160"/>
      <c r="AJ183" s="160"/>
      <c r="AK183" s="160"/>
      <c r="AL183" s="179"/>
      <c r="AM183" s="1"/>
      <c r="AN183" s="168"/>
      <c r="AO183" s="168"/>
      <c r="AP183" s="168"/>
      <c r="AQ183" s="168"/>
      <c r="AR183" s="168"/>
      <c r="AS183" s="168"/>
      <c r="AT183" s="168"/>
      <c r="AU183" s="168"/>
      <c r="AV183" s="168"/>
      <c r="AW183" s="168"/>
      <c r="AX183" s="168"/>
      <c r="AY183" s="168"/>
      <c r="AZ183" s="168">
        <f t="shared" si="41"/>
        <v>0</v>
      </c>
      <c r="BA183" s="141"/>
      <c r="IH183" s="142"/>
      <c r="II183" s="142"/>
      <c r="IJ183" s="142"/>
      <c r="IK183" s="142"/>
      <c r="IL183" s="142"/>
      <c r="IM183" s="142"/>
      <c r="IN183" s="142"/>
    </row>
    <row r="184" s="135" customFormat="1" ht="12.95" customHeight="1" spans="1:248">
      <c r="A184" s="154"/>
      <c r="B184" s="180"/>
      <c r="C184" s="180"/>
      <c r="D184" s="180"/>
      <c r="E184" s="180"/>
      <c r="F184" s="18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  <c r="AA184" s="160"/>
      <c r="AB184" s="160"/>
      <c r="AC184" s="160"/>
      <c r="AD184" s="160"/>
      <c r="AE184" s="160"/>
      <c r="AF184" s="160"/>
      <c r="AG184" s="160"/>
      <c r="AH184" s="160"/>
      <c r="AI184" s="160"/>
      <c r="AJ184" s="160"/>
      <c r="AK184" s="160"/>
      <c r="AL184" s="179"/>
      <c r="AM184" s="1"/>
      <c r="AN184" s="168"/>
      <c r="AO184" s="168"/>
      <c r="AP184" s="168"/>
      <c r="AQ184" s="168"/>
      <c r="AR184" s="168"/>
      <c r="AS184" s="168"/>
      <c r="AT184" s="168"/>
      <c r="AU184" s="168"/>
      <c r="AV184" s="168"/>
      <c r="AW184" s="168"/>
      <c r="AX184" s="168"/>
      <c r="AY184" s="168"/>
      <c r="AZ184" s="168">
        <f t="shared" si="41"/>
        <v>0</v>
      </c>
      <c r="BA184" s="141"/>
      <c r="IH184" s="142"/>
      <c r="II184" s="142"/>
      <c r="IJ184" s="142"/>
      <c r="IK184" s="142"/>
      <c r="IL184" s="142"/>
      <c r="IM184" s="142"/>
      <c r="IN184" s="142"/>
    </row>
    <row r="185" ht="12.95" customHeight="1" spans="1:241">
      <c r="A185" s="154"/>
      <c r="B185" s="180"/>
      <c r="C185" s="180"/>
      <c r="D185" s="180"/>
      <c r="E185" s="180"/>
      <c r="F185" s="18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  <c r="AE185" s="160"/>
      <c r="AF185" s="160"/>
      <c r="AG185" s="160"/>
      <c r="AH185" s="160"/>
      <c r="AI185" s="160"/>
      <c r="AJ185" s="160"/>
      <c r="AK185" s="160"/>
      <c r="AL185" s="179"/>
      <c r="AM185" s="1"/>
      <c r="AN185" s="168"/>
      <c r="AO185" s="168"/>
      <c r="AP185" s="168"/>
      <c r="AQ185" s="168"/>
      <c r="AR185" s="168"/>
      <c r="AS185" s="168"/>
      <c r="AT185" s="168"/>
      <c r="AU185" s="168"/>
      <c r="AV185" s="168"/>
      <c r="AW185" s="168"/>
      <c r="AX185" s="168"/>
      <c r="AY185" s="168"/>
      <c r="AZ185" s="168">
        <f t="shared" si="41"/>
        <v>0</v>
      </c>
      <c r="BA185" s="183"/>
      <c r="BB185" s="142"/>
      <c r="BC185" s="142"/>
      <c r="BD185" s="142"/>
      <c r="BF185" s="142"/>
      <c r="BG185" s="142"/>
      <c r="BH185" s="142"/>
      <c r="BI185" s="142"/>
      <c r="BJ185" s="142"/>
      <c r="BK185" s="142"/>
      <c r="BL185" s="142"/>
      <c r="BM185" s="142"/>
      <c r="BN185" s="142"/>
      <c r="BO185" s="142"/>
      <c r="BP185" s="142"/>
      <c r="BQ185" s="142"/>
      <c r="BR185" s="142"/>
      <c r="BS185" s="142"/>
      <c r="BT185" s="142"/>
      <c r="BU185" s="142"/>
      <c r="BV185" s="142"/>
      <c r="BW185" s="142"/>
      <c r="BX185" s="142"/>
      <c r="BY185" s="142"/>
      <c r="BZ185" s="142"/>
      <c r="CA185" s="142"/>
      <c r="CB185" s="142"/>
      <c r="CC185" s="142"/>
      <c r="CD185" s="142"/>
      <c r="CE185" s="142"/>
      <c r="CF185" s="142"/>
      <c r="CG185" s="142"/>
      <c r="CH185" s="142"/>
      <c r="CI185" s="142"/>
      <c r="CJ185" s="142"/>
      <c r="CK185" s="142"/>
      <c r="CL185" s="142"/>
      <c r="CM185" s="142"/>
      <c r="CN185" s="142"/>
      <c r="CO185" s="142"/>
      <c r="CP185" s="142"/>
      <c r="CQ185" s="142"/>
      <c r="CR185" s="142"/>
      <c r="CS185" s="142"/>
      <c r="CT185" s="142"/>
      <c r="CU185" s="142"/>
      <c r="CV185" s="142"/>
      <c r="CW185" s="142"/>
      <c r="CX185" s="142"/>
      <c r="CY185" s="142"/>
      <c r="CZ185" s="142"/>
      <c r="DA185" s="142"/>
      <c r="DB185" s="142"/>
      <c r="DC185" s="142"/>
      <c r="DD185" s="142"/>
      <c r="DE185" s="142"/>
      <c r="DF185" s="142"/>
      <c r="DG185" s="142"/>
      <c r="DH185" s="142"/>
      <c r="DI185" s="142"/>
      <c r="DJ185" s="142"/>
      <c r="DK185" s="142"/>
      <c r="DL185" s="142"/>
      <c r="DM185" s="142"/>
      <c r="DN185" s="142"/>
      <c r="DO185" s="142"/>
      <c r="DP185" s="142"/>
      <c r="DQ185" s="142"/>
      <c r="DR185" s="142"/>
      <c r="DS185" s="142"/>
      <c r="DT185" s="142"/>
      <c r="DU185" s="142"/>
      <c r="DV185" s="142"/>
      <c r="DW185" s="142"/>
      <c r="DX185" s="142"/>
      <c r="DY185" s="142"/>
      <c r="DZ185" s="142"/>
      <c r="EA185" s="142"/>
      <c r="EB185" s="142"/>
      <c r="EC185" s="142"/>
      <c r="ED185" s="142"/>
      <c r="EE185" s="142"/>
      <c r="EF185" s="142"/>
      <c r="EG185" s="142"/>
      <c r="EH185" s="142"/>
      <c r="EI185" s="142"/>
      <c r="EJ185" s="142"/>
      <c r="EK185" s="142"/>
      <c r="EL185" s="142"/>
      <c r="EM185" s="142"/>
      <c r="EN185" s="142"/>
      <c r="EO185" s="142"/>
      <c r="EP185" s="142"/>
      <c r="EQ185" s="142"/>
      <c r="ER185" s="142"/>
      <c r="ES185" s="142"/>
      <c r="ET185" s="142"/>
      <c r="EU185" s="142"/>
      <c r="EV185" s="142"/>
      <c r="EW185" s="142"/>
      <c r="EX185" s="142"/>
      <c r="EY185" s="142"/>
      <c r="EZ185" s="142"/>
      <c r="FA185" s="142"/>
      <c r="FB185" s="142"/>
      <c r="FC185" s="142"/>
      <c r="FD185" s="142"/>
      <c r="FE185" s="142"/>
      <c r="FF185" s="142"/>
      <c r="FG185" s="142"/>
      <c r="FH185" s="142"/>
      <c r="FI185" s="142"/>
      <c r="FJ185" s="142"/>
      <c r="FK185" s="142"/>
      <c r="FL185" s="142"/>
      <c r="FM185" s="142"/>
      <c r="FN185" s="142"/>
      <c r="FO185" s="142"/>
      <c r="FP185" s="142"/>
      <c r="FQ185" s="142"/>
      <c r="FR185" s="142"/>
      <c r="FS185" s="142"/>
      <c r="FT185" s="142"/>
      <c r="FU185" s="142"/>
      <c r="FV185" s="142"/>
      <c r="FW185" s="142"/>
      <c r="FX185" s="142"/>
      <c r="FY185" s="142"/>
      <c r="FZ185" s="142"/>
      <c r="GA185" s="142"/>
      <c r="GB185" s="142"/>
      <c r="GC185" s="142"/>
      <c r="GD185" s="142"/>
      <c r="GE185" s="142"/>
      <c r="GF185" s="142"/>
      <c r="GG185" s="142"/>
      <c r="GH185" s="142"/>
      <c r="GI185" s="142"/>
      <c r="GJ185" s="142"/>
      <c r="GK185" s="142"/>
      <c r="GL185" s="142"/>
      <c r="GM185" s="142"/>
      <c r="GN185" s="142"/>
      <c r="GO185" s="142"/>
      <c r="GP185" s="142"/>
      <c r="GQ185" s="142"/>
      <c r="GR185" s="142"/>
      <c r="GS185" s="142"/>
      <c r="GT185" s="142"/>
      <c r="GU185" s="142"/>
      <c r="GV185" s="142"/>
      <c r="GW185" s="142"/>
      <c r="GX185" s="142"/>
      <c r="GY185" s="142"/>
      <c r="GZ185" s="142"/>
      <c r="HA185" s="142"/>
      <c r="HB185" s="142"/>
      <c r="HC185" s="142"/>
      <c r="HD185" s="142"/>
      <c r="HE185" s="142"/>
      <c r="HF185" s="142"/>
      <c r="HG185" s="142"/>
      <c r="HH185" s="142"/>
      <c r="HI185" s="142"/>
      <c r="HJ185" s="142"/>
      <c r="HK185" s="142"/>
      <c r="HL185" s="142"/>
      <c r="HM185" s="142"/>
      <c r="HN185" s="142"/>
      <c r="HO185" s="142"/>
      <c r="HP185" s="142"/>
      <c r="HQ185" s="142"/>
      <c r="HR185" s="142"/>
      <c r="HS185" s="142"/>
      <c r="HT185" s="142"/>
      <c r="HU185" s="142"/>
      <c r="HV185" s="142"/>
      <c r="HW185" s="142"/>
      <c r="HX185" s="142"/>
      <c r="HY185" s="142"/>
      <c r="HZ185" s="142"/>
      <c r="IA185" s="142"/>
      <c r="IB185" s="142"/>
      <c r="IC185" s="142"/>
      <c r="ID185" s="142"/>
      <c r="IE185" s="142"/>
      <c r="IF185" s="142"/>
      <c r="IG185" s="142"/>
    </row>
    <row r="186" s="135" customFormat="1" ht="12.95" customHeight="1" spans="1:248">
      <c r="A186" s="154"/>
      <c r="B186" s="180"/>
      <c r="C186" s="180"/>
      <c r="D186" s="180"/>
      <c r="E186" s="180"/>
      <c r="F186" s="18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  <c r="AE186" s="160"/>
      <c r="AF186" s="160"/>
      <c r="AG186" s="160"/>
      <c r="AH186" s="160"/>
      <c r="AI186" s="160"/>
      <c r="AJ186" s="160"/>
      <c r="AK186" s="160"/>
      <c r="AL186" s="179"/>
      <c r="AM186" s="1"/>
      <c r="AN186" s="168"/>
      <c r="AO186" s="168"/>
      <c r="AP186" s="168"/>
      <c r="AQ186" s="168"/>
      <c r="AR186" s="168"/>
      <c r="AS186" s="168"/>
      <c r="AT186" s="168"/>
      <c r="AU186" s="168"/>
      <c r="AV186" s="168"/>
      <c r="AW186" s="168"/>
      <c r="AX186" s="168"/>
      <c r="AY186" s="168"/>
      <c r="AZ186" s="168">
        <f t="shared" si="41"/>
        <v>0</v>
      </c>
      <c r="BA186" s="141"/>
      <c r="IH186" s="142"/>
      <c r="II186" s="142"/>
      <c r="IJ186" s="142"/>
      <c r="IK186" s="142"/>
      <c r="IL186" s="142"/>
      <c r="IM186" s="142"/>
      <c r="IN186" s="142"/>
    </row>
    <row r="187" s="135" customFormat="1" ht="12.95" customHeight="1" spans="1:248">
      <c r="A187" s="154"/>
      <c r="B187" s="180"/>
      <c r="C187" s="180"/>
      <c r="D187" s="180"/>
      <c r="E187" s="180"/>
      <c r="F187" s="18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  <c r="AD187" s="160"/>
      <c r="AE187" s="160"/>
      <c r="AF187" s="160"/>
      <c r="AG187" s="160"/>
      <c r="AH187" s="160"/>
      <c r="AI187" s="160"/>
      <c r="AJ187" s="160"/>
      <c r="AK187" s="160"/>
      <c r="AL187" s="179"/>
      <c r="AM187" s="1"/>
      <c r="AN187" s="168"/>
      <c r="AO187" s="168"/>
      <c r="AP187" s="168"/>
      <c r="AQ187" s="168"/>
      <c r="AR187" s="168"/>
      <c r="AS187" s="168"/>
      <c r="AT187" s="168"/>
      <c r="AU187" s="168"/>
      <c r="AV187" s="168"/>
      <c r="AW187" s="168"/>
      <c r="AX187" s="168"/>
      <c r="AY187" s="168"/>
      <c r="AZ187" s="168">
        <f t="shared" si="41"/>
        <v>0</v>
      </c>
      <c r="BA187" s="141"/>
      <c r="IH187" s="142"/>
      <c r="II187" s="142"/>
      <c r="IJ187" s="142"/>
      <c r="IK187" s="142"/>
      <c r="IL187" s="142"/>
      <c r="IM187" s="142"/>
      <c r="IN187" s="142"/>
    </row>
    <row r="188" s="135" customFormat="1" ht="12.95" customHeight="1" spans="1:248">
      <c r="A188" s="154"/>
      <c r="B188" s="180"/>
      <c r="C188" s="180"/>
      <c r="D188" s="180"/>
      <c r="E188" s="180"/>
      <c r="F188" s="18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0"/>
      <c r="AD188" s="160"/>
      <c r="AE188" s="160"/>
      <c r="AF188" s="160"/>
      <c r="AG188" s="160"/>
      <c r="AH188" s="160"/>
      <c r="AI188" s="160"/>
      <c r="AJ188" s="160"/>
      <c r="AK188" s="160"/>
      <c r="AL188" s="179"/>
      <c r="AM188" s="1"/>
      <c r="AN188" s="168"/>
      <c r="AO188" s="168"/>
      <c r="AP188" s="168"/>
      <c r="AQ188" s="168"/>
      <c r="AR188" s="168"/>
      <c r="AS188" s="168"/>
      <c r="AT188" s="168"/>
      <c r="AU188" s="168"/>
      <c r="AV188" s="168"/>
      <c r="AW188" s="168"/>
      <c r="AX188" s="168"/>
      <c r="AY188" s="168"/>
      <c r="AZ188" s="168">
        <f t="shared" si="41"/>
        <v>0</v>
      </c>
      <c r="BA188" s="141"/>
      <c r="IH188" s="142"/>
      <c r="II188" s="142"/>
      <c r="IJ188" s="142"/>
      <c r="IK188" s="142"/>
      <c r="IL188" s="142"/>
      <c r="IM188" s="142"/>
      <c r="IN188" s="142"/>
    </row>
    <row r="189" s="135" customFormat="1" ht="12.95" customHeight="1" spans="1:248">
      <c r="A189" s="154"/>
      <c r="B189" s="180"/>
      <c r="C189" s="180"/>
      <c r="D189" s="180"/>
      <c r="E189" s="180"/>
      <c r="F189" s="18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  <c r="AC189" s="160"/>
      <c r="AD189" s="160"/>
      <c r="AE189" s="160"/>
      <c r="AF189" s="160"/>
      <c r="AG189" s="160"/>
      <c r="AH189" s="160"/>
      <c r="AI189" s="160"/>
      <c r="AJ189" s="160"/>
      <c r="AK189" s="160"/>
      <c r="AL189" s="179"/>
      <c r="AM189" s="1"/>
      <c r="AN189" s="168"/>
      <c r="AO189" s="168"/>
      <c r="AP189" s="168"/>
      <c r="AQ189" s="168"/>
      <c r="AR189" s="168"/>
      <c r="AS189" s="168"/>
      <c r="AT189" s="168"/>
      <c r="AU189" s="168"/>
      <c r="AV189" s="168"/>
      <c r="AW189" s="168"/>
      <c r="AX189" s="168"/>
      <c r="AY189" s="168"/>
      <c r="AZ189" s="168">
        <f t="shared" si="41"/>
        <v>0</v>
      </c>
      <c r="BA189" s="141"/>
      <c r="IH189" s="142"/>
      <c r="II189" s="142"/>
      <c r="IJ189" s="142"/>
      <c r="IK189" s="142"/>
      <c r="IL189" s="142"/>
      <c r="IM189" s="142"/>
      <c r="IN189" s="142"/>
    </row>
    <row r="190" s="135" customFormat="1" ht="12.95" customHeight="1" spans="1:248">
      <c r="A190" s="154"/>
      <c r="B190" s="180"/>
      <c r="C190" s="180"/>
      <c r="D190" s="180"/>
      <c r="E190" s="180"/>
      <c r="F190" s="18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  <c r="AD190" s="160"/>
      <c r="AE190" s="160"/>
      <c r="AF190" s="160"/>
      <c r="AG190" s="160"/>
      <c r="AH190" s="160"/>
      <c r="AI190" s="160"/>
      <c r="AJ190" s="160"/>
      <c r="AK190" s="160"/>
      <c r="AL190" s="179"/>
      <c r="AM190" s="1"/>
      <c r="AN190" s="168"/>
      <c r="AO190" s="168"/>
      <c r="AP190" s="168"/>
      <c r="AQ190" s="168"/>
      <c r="AR190" s="168"/>
      <c r="AS190" s="168"/>
      <c r="AT190" s="168"/>
      <c r="AU190" s="168"/>
      <c r="AV190" s="168"/>
      <c r="AW190" s="168"/>
      <c r="AX190" s="168"/>
      <c r="AY190" s="168"/>
      <c r="AZ190" s="168">
        <f t="shared" si="41"/>
        <v>0</v>
      </c>
      <c r="BA190" s="141"/>
      <c r="IH190" s="142"/>
      <c r="II190" s="142"/>
      <c r="IJ190" s="142"/>
      <c r="IK190" s="142"/>
      <c r="IL190" s="142"/>
      <c r="IM190" s="142"/>
      <c r="IN190" s="142"/>
    </row>
    <row r="191" s="135" customFormat="1" ht="12.95" customHeight="1" spans="1:248">
      <c r="A191" s="154"/>
      <c r="B191" s="180"/>
      <c r="C191" s="180"/>
      <c r="D191" s="180"/>
      <c r="E191" s="180"/>
      <c r="F191" s="18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  <c r="AA191" s="160"/>
      <c r="AB191" s="160"/>
      <c r="AC191" s="160"/>
      <c r="AD191" s="160"/>
      <c r="AE191" s="160"/>
      <c r="AF191" s="160"/>
      <c r="AG191" s="160"/>
      <c r="AH191" s="160"/>
      <c r="AI191" s="160"/>
      <c r="AJ191" s="160"/>
      <c r="AK191" s="160"/>
      <c r="AL191" s="179"/>
      <c r="AM191" s="1"/>
      <c r="AN191" s="168"/>
      <c r="AO191" s="168"/>
      <c r="AP191" s="168"/>
      <c r="AQ191" s="168"/>
      <c r="AR191" s="168"/>
      <c r="AS191" s="168"/>
      <c r="AT191" s="168"/>
      <c r="AU191" s="168"/>
      <c r="AV191" s="168"/>
      <c r="AW191" s="168"/>
      <c r="AX191" s="168"/>
      <c r="AY191" s="168"/>
      <c r="AZ191" s="168">
        <f t="shared" si="41"/>
        <v>0</v>
      </c>
      <c r="BA191" s="141"/>
      <c r="IH191" s="142"/>
      <c r="II191" s="142"/>
      <c r="IJ191" s="142"/>
      <c r="IK191" s="142"/>
      <c r="IL191" s="142"/>
      <c r="IM191" s="142"/>
      <c r="IN191" s="142"/>
    </row>
    <row r="192" s="135" customFormat="1" ht="12.95" customHeight="1" spans="1:248">
      <c r="A192" s="154"/>
      <c r="B192" s="181"/>
      <c r="C192" s="181"/>
      <c r="D192" s="181"/>
      <c r="E192" s="181"/>
      <c r="F192" s="181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  <c r="AD192" s="160"/>
      <c r="AE192" s="160"/>
      <c r="AF192" s="160"/>
      <c r="AG192" s="160"/>
      <c r="AH192" s="160"/>
      <c r="AI192" s="160"/>
      <c r="AJ192" s="160"/>
      <c r="AK192" s="160"/>
      <c r="AL192" s="182"/>
      <c r="AM192" s="1"/>
      <c r="AN192" s="168"/>
      <c r="AO192" s="168"/>
      <c r="AP192" s="168"/>
      <c r="AQ192" s="168"/>
      <c r="AR192" s="168"/>
      <c r="AS192" s="168"/>
      <c r="AT192" s="168"/>
      <c r="AU192" s="168"/>
      <c r="AV192" s="168"/>
      <c r="AW192" s="168"/>
      <c r="AX192" s="168"/>
      <c r="AY192" s="168"/>
      <c r="AZ192" s="168">
        <f t="shared" si="41"/>
        <v>0</v>
      </c>
      <c r="BA192" s="141"/>
      <c r="IH192" s="142"/>
      <c r="II192" s="142"/>
      <c r="IJ192" s="142"/>
      <c r="IK192" s="142"/>
      <c r="IL192" s="142"/>
      <c r="IM192" s="142"/>
      <c r="IN192" s="142"/>
    </row>
    <row r="193" s="135" customFormat="1" ht="12.95" customHeight="1" spans="1:248">
      <c r="A193" s="154"/>
      <c r="B193" s="181"/>
      <c r="C193" s="181"/>
      <c r="D193" s="181"/>
      <c r="E193" s="181"/>
      <c r="F193" s="181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  <c r="AA193" s="160"/>
      <c r="AB193" s="160"/>
      <c r="AC193" s="160"/>
      <c r="AD193" s="160"/>
      <c r="AE193" s="160"/>
      <c r="AF193" s="160"/>
      <c r="AG193" s="160"/>
      <c r="AH193" s="160"/>
      <c r="AI193" s="160"/>
      <c r="AJ193" s="160"/>
      <c r="AK193" s="160"/>
      <c r="AL193" s="182"/>
      <c r="AM193" s="1"/>
      <c r="AN193" s="168"/>
      <c r="AO193" s="168"/>
      <c r="AP193" s="168"/>
      <c r="AQ193" s="168"/>
      <c r="AR193" s="168"/>
      <c r="AS193" s="168"/>
      <c r="AT193" s="168"/>
      <c r="AU193" s="168"/>
      <c r="AV193" s="168"/>
      <c r="AW193" s="168"/>
      <c r="AX193" s="168"/>
      <c r="AY193" s="168"/>
      <c r="AZ193" s="168">
        <f t="shared" si="41"/>
        <v>0</v>
      </c>
      <c r="BA193" s="141"/>
      <c r="IH193" s="142"/>
      <c r="II193" s="142"/>
      <c r="IJ193" s="142"/>
      <c r="IK193" s="142"/>
      <c r="IL193" s="142"/>
      <c r="IM193" s="142"/>
      <c r="IN193" s="142"/>
    </row>
    <row r="194" s="135" customFormat="1" ht="12.95" customHeight="1" spans="1:248">
      <c r="A194" s="154"/>
      <c r="B194" s="181"/>
      <c r="C194" s="181"/>
      <c r="D194" s="181"/>
      <c r="E194" s="181"/>
      <c r="F194" s="181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  <c r="AD194" s="160"/>
      <c r="AE194" s="160"/>
      <c r="AF194" s="160"/>
      <c r="AG194" s="160"/>
      <c r="AH194" s="160"/>
      <c r="AI194" s="160"/>
      <c r="AJ194" s="160"/>
      <c r="AK194" s="160"/>
      <c r="AL194" s="182"/>
      <c r="AM194" s="1"/>
      <c r="AN194" s="168"/>
      <c r="AO194" s="168"/>
      <c r="AP194" s="168"/>
      <c r="AQ194" s="168"/>
      <c r="AR194" s="168"/>
      <c r="AS194" s="168"/>
      <c r="AT194" s="168"/>
      <c r="AU194" s="168"/>
      <c r="AV194" s="168"/>
      <c r="AW194" s="168"/>
      <c r="AX194" s="168"/>
      <c r="AY194" s="168"/>
      <c r="AZ194" s="168">
        <f t="shared" ref="AZ194:AZ257" si="42">AN194+AO194+AP194+AQ194+AR194+AS194+AT194+AU194+AV194+AW194+AX194+AY194</f>
        <v>0</v>
      </c>
      <c r="BA194" s="141"/>
      <c r="IH194" s="142"/>
      <c r="II194" s="142"/>
      <c r="IJ194" s="142"/>
      <c r="IK194" s="142"/>
      <c r="IL194" s="142"/>
      <c r="IM194" s="142"/>
      <c r="IN194" s="142"/>
    </row>
    <row r="195" s="135" customFormat="1" ht="12.95" customHeight="1" spans="1:248">
      <c r="A195" s="154"/>
      <c r="B195" s="181"/>
      <c r="C195" s="181"/>
      <c r="D195" s="181"/>
      <c r="E195" s="181"/>
      <c r="F195" s="181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0"/>
      <c r="AG195" s="160"/>
      <c r="AH195" s="160"/>
      <c r="AI195" s="160"/>
      <c r="AJ195" s="160"/>
      <c r="AK195" s="160"/>
      <c r="AL195" s="182"/>
      <c r="AM195" s="1"/>
      <c r="AN195" s="168"/>
      <c r="AO195" s="168"/>
      <c r="AP195" s="168"/>
      <c r="AQ195" s="168"/>
      <c r="AR195" s="168"/>
      <c r="AS195" s="168"/>
      <c r="AT195" s="168"/>
      <c r="AU195" s="168"/>
      <c r="AV195" s="168"/>
      <c r="AW195" s="168"/>
      <c r="AX195" s="168"/>
      <c r="AY195" s="168"/>
      <c r="AZ195" s="168">
        <f t="shared" si="42"/>
        <v>0</v>
      </c>
      <c r="BA195" s="141"/>
      <c r="IH195" s="142"/>
      <c r="II195" s="142"/>
      <c r="IJ195" s="142"/>
      <c r="IK195" s="142"/>
      <c r="IL195" s="142"/>
      <c r="IM195" s="142"/>
      <c r="IN195" s="142"/>
    </row>
    <row r="196" s="135" customFormat="1" ht="12.95" customHeight="1" spans="1:248">
      <c r="A196" s="154"/>
      <c r="B196" s="181"/>
      <c r="C196" s="181"/>
      <c r="D196" s="181"/>
      <c r="E196" s="181"/>
      <c r="F196" s="181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0"/>
      <c r="AD196" s="160"/>
      <c r="AE196" s="160"/>
      <c r="AF196" s="160"/>
      <c r="AG196" s="160"/>
      <c r="AH196" s="160"/>
      <c r="AI196" s="160"/>
      <c r="AJ196" s="160"/>
      <c r="AK196" s="160"/>
      <c r="AL196" s="182"/>
      <c r="AM196" s="1"/>
      <c r="AN196" s="168"/>
      <c r="AO196" s="168"/>
      <c r="AP196" s="168"/>
      <c r="AQ196" s="168"/>
      <c r="AR196" s="168"/>
      <c r="AS196" s="168"/>
      <c r="AT196" s="168"/>
      <c r="AU196" s="168"/>
      <c r="AV196" s="168"/>
      <c r="AW196" s="168"/>
      <c r="AX196" s="168"/>
      <c r="AY196" s="168"/>
      <c r="AZ196" s="168">
        <f t="shared" si="42"/>
        <v>0</v>
      </c>
      <c r="BA196" s="141"/>
      <c r="IH196" s="142"/>
      <c r="II196" s="142"/>
      <c r="IJ196" s="142"/>
      <c r="IK196" s="142"/>
      <c r="IL196" s="142"/>
      <c r="IM196" s="142"/>
      <c r="IN196" s="142"/>
    </row>
    <row r="197" s="135" customFormat="1" ht="12.95" customHeight="1" spans="1:248">
      <c r="A197" s="154"/>
      <c r="B197" s="181"/>
      <c r="C197" s="181"/>
      <c r="D197" s="181"/>
      <c r="E197" s="181"/>
      <c r="F197" s="181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  <c r="AA197" s="160"/>
      <c r="AB197" s="160"/>
      <c r="AC197" s="160"/>
      <c r="AD197" s="160"/>
      <c r="AE197" s="160"/>
      <c r="AF197" s="160"/>
      <c r="AG197" s="160"/>
      <c r="AH197" s="160"/>
      <c r="AI197" s="160"/>
      <c r="AJ197" s="160"/>
      <c r="AK197" s="160"/>
      <c r="AL197" s="182"/>
      <c r="AM197" s="1"/>
      <c r="AN197" s="168"/>
      <c r="AO197" s="168"/>
      <c r="AP197" s="168"/>
      <c r="AQ197" s="168"/>
      <c r="AR197" s="168"/>
      <c r="AS197" s="168"/>
      <c r="AT197" s="168"/>
      <c r="AU197" s="168"/>
      <c r="AV197" s="168"/>
      <c r="AW197" s="168"/>
      <c r="AX197" s="168"/>
      <c r="AY197" s="168"/>
      <c r="AZ197" s="168">
        <f t="shared" si="42"/>
        <v>0</v>
      </c>
      <c r="BA197" s="141"/>
      <c r="IH197" s="142"/>
      <c r="II197" s="142"/>
      <c r="IJ197" s="142"/>
      <c r="IK197" s="142"/>
      <c r="IL197" s="142"/>
      <c r="IM197" s="142"/>
      <c r="IN197" s="142"/>
    </row>
    <row r="198" s="135" customFormat="1" ht="12.95" customHeight="1" spans="1:248">
      <c r="A198" s="154"/>
      <c r="B198" s="181"/>
      <c r="C198" s="181"/>
      <c r="D198" s="181"/>
      <c r="E198" s="181"/>
      <c r="F198" s="181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60"/>
      <c r="AC198" s="160"/>
      <c r="AD198" s="160"/>
      <c r="AE198" s="160"/>
      <c r="AF198" s="160"/>
      <c r="AG198" s="160"/>
      <c r="AH198" s="160"/>
      <c r="AI198" s="160"/>
      <c r="AJ198" s="160"/>
      <c r="AK198" s="160"/>
      <c r="AL198" s="182"/>
      <c r="AM198" s="1"/>
      <c r="AN198" s="168"/>
      <c r="AO198" s="168"/>
      <c r="AP198" s="168"/>
      <c r="AQ198" s="168"/>
      <c r="AR198" s="168"/>
      <c r="AS198" s="168"/>
      <c r="AT198" s="168"/>
      <c r="AU198" s="168"/>
      <c r="AV198" s="168"/>
      <c r="AW198" s="168"/>
      <c r="AX198" s="168"/>
      <c r="AY198" s="168"/>
      <c r="AZ198" s="168">
        <f t="shared" si="42"/>
        <v>0</v>
      </c>
      <c r="BA198" s="141"/>
      <c r="IH198" s="142"/>
      <c r="II198" s="142"/>
      <c r="IJ198" s="142"/>
      <c r="IK198" s="142"/>
      <c r="IL198" s="142"/>
      <c r="IM198" s="142"/>
      <c r="IN198" s="142"/>
    </row>
    <row r="199" s="135" customFormat="1" ht="12.95" customHeight="1" spans="1:248">
      <c r="A199" s="154"/>
      <c r="B199" s="181"/>
      <c r="C199" s="181"/>
      <c r="D199" s="181"/>
      <c r="E199" s="181"/>
      <c r="F199" s="181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  <c r="AD199" s="160"/>
      <c r="AE199" s="160"/>
      <c r="AF199" s="160"/>
      <c r="AG199" s="160"/>
      <c r="AH199" s="160"/>
      <c r="AI199" s="160"/>
      <c r="AJ199" s="160"/>
      <c r="AK199" s="160"/>
      <c r="AL199" s="182"/>
      <c r="AM199" s="1"/>
      <c r="AN199" s="168"/>
      <c r="AO199" s="168"/>
      <c r="AP199" s="168"/>
      <c r="AQ199" s="168"/>
      <c r="AR199" s="168"/>
      <c r="AS199" s="168"/>
      <c r="AT199" s="168"/>
      <c r="AU199" s="168"/>
      <c r="AV199" s="168"/>
      <c r="AW199" s="168"/>
      <c r="AX199" s="168"/>
      <c r="AY199" s="168"/>
      <c r="AZ199" s="168">
        <f t="shared" si="42"/>
        <v>0</v>
      </c>
      <c r="BA199" s="141"/>
      <c r="IH199" s="142"/>
      <c r="II199" s="142"/>
      <c r="IJ199" s="142"/>
      <c r="IK199" s="142"/>
      <c r="IL199" s="142"/>
      <c r="IM199" s="142"/>
      <c r="IN199" s="142"/>
    </row>
    <row r="200" s="135" customFormat="1" ht="12.95" customHeight="1" spans="1:248">
      <c r="A200" s="154"/>
      <c r="B200" s="181"/>
      <c r="C200" s="181"/>
      <c r="D200" s="181"/>
      <c r="E200" s="181"/>
      <c r="F200" s="181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  <c r="AD200" s="160"/>
      <c r="AE200" s="160"/>
      <c r="AF200" s="160"/>
      <c r="AG200" s="160"/>
      <c r="AH200" s="160"/>
      <c r="AI200" s="160"/>
      <c r="AJ200" s="160"/>
      <c r="AK200" s="160"/>
      <c r="AL200" s="182"/>
      <c r="AM200" s="1"/>
      <c r="AN200" s="168"/>
      <c r="AO200" s="168"/>
      <c r="AP200" s="168"/>
      <c r="AQ200" s="168"/>
      <c r="AR200" s="168"/>
      <c r="AS200" s="168"/>
      <c r="AT200" s="168"/>
      <c r="AU200" s="168"/>
      <c r="AV200" s="168"/>
      <c r="AW200" s="168"/>
      <c r="AX200" s="168"/>
      <c r="AY200" s="168"/>
      <c r="AZ200" s="168">
        <f t="shared" si="42"/>
        <v>0</v>
      </c>
      <c r="BA200" s="141"/>
      <c r="IH200" s="142"/>
      <c r="II200" s="142"/>
      <c r="IJ200" s="142"/>
      <c r="IK200" s="142"/>
      <c r="IL200" s="142"/>
      <c r="IM200" s="142"/>
      <c r="IN200" s="142"/>
    </row>
    <row r="201" s="135" customFormat="1" ht="12.95" customHeight="1" spans="1:248">
      <c r="A201" s="154"/>
      <c r="B201" s="181"/>
      <c r="C201" s="181"/>
      <c r="D201" s="181"/>
      <c r="E201" s="181"/>
      <c r="F201" s="181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160"/>
      <c r="AC201" s="160"/>
      <c r="AD201" s="160"/>
      <c r="AE201" s="160"/>
      <c r="AF201" s="160"/>
      <c r="AG201" s="160"/>
      <c r="AH201" s="160"/>
      <c r="AI201" s="160"/>
      <c r="AJ201" s="160"/>
      <c r="AK201" s="160"/>
      <c r="AL201" s="182"/>
      <c r="AM201" s="1"/>
      <c r="AN201" s="168"/>
      <c r="AO201" s="168"/>
      <c r="AP201" s="168"/>
      <c r="AQ201" s="168"/>
      <c r="AR201" s="168"/>
      <c r="AS201" s="168"/>
      <c r="AT201" s="168"/>
      <c r="AU201" s="168"/>
      <c r="AV201" s="168"/>
      <c r="AW201" s="168"/>
      <c r="AX201" s="168"/>
      <c r="AY201" s="168"/>
      <c r="AZ201" s="168">
        <f t="shared" si="42"/>
        <v>0</v>
      </c>
      <c r="BA201" s="141"/>
      <c r="IH201" s="142"/>
      <c r="II201" s="142"/>
      <c r="IJ201" s="142"/>
      <c r="IK201" s="142"/>
      <c r="IL201" s="142"/>
      <c r="IM201" s="142"/>
      <c r="IN201" s="142"/>
    </row>
    <row r="202" s="135" customFormat="1" ht="12.95" customHeight="1" spans="1:248">
      <c r="A202" s="154"/>
      <c r="B202" s="181"/>
      <c r="C202" s="181"/>
      <c r="D202" s="181"/>
      <c r="E202" s="181"/>
      <c r="F202" s="181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  <c r="AD202" s="160"/>
      <c r="AE202" s="160"/>
      <c r="AF202" s="160"/>
      <c r="AG202" s="160"/>
      <c r="AH202" s="160"/>
      <c r="AI202" s="160"/>
      <c r="AJ202" s="160"/>
      <c r="AK202" s="160"/>
      <c r="AL202" s="182"/>
      <c r="AM202" s="1"/>
      <c r="AN202" s="168"/>
      <c r="AO202" s="168"/>
      <c r="AP202" s="168"/>
      <c r="AQ202" s="168"/>
      <c r="AR202" s="168"/>
      <c r="AS202" s="168"/>
      <c r="AT202" s="168"/>
      <c r="AU202" s="168"/>
      <c r="AV202" s="168"/>
      <c r="AW202" s="168"/>
      <c r="AX202" s="168"/>
      <c r="AY202" s="168"/>
      <c r="AZ202" s="168">
        <f t="shared" si="42"/>
        <v>0</v>
      </c>
      <c r="BA202" s="141"/>
      <c r="IH202" s="142"/>
      <c r="II202" s="142"/>
      <c r="IJ202" s="142"/>
      <c r="IK202" s="142"/>
      <c r="IL202" s="142"/>
      <c r="IM202" s="142"/>
      <c r="IN202" s="142"/>
    </row>
    <row r="203" s="135" customFormat="1" ht="12.95" customHeight="1" spans="1:248">
      <c r="A203" s="154"/>
      <c r="B203" s="181"/>
      <c r="C203" s="181"/>
      <c r="D203" s="181"/>
      <c r="E203" s="181"/>
      <c r="F203" s="181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0"/>
      <c r="AG203" s="160"/>
      <c r="AH203" s="160"/>
      <c r="AI203" s="160"/>
      <c r="AJ203" s="160"/>
      <c r="AK203" s="160"/>
      <c r="AL203" s="182"/>
      <c r="AM203" s="1"/>
      <c r="AN203" s="168"/>
      <c r="AO203" s="168"/>
      <c r="AP203" s="168"/>
      <c r="AQ203" s="168"/>
      <c r="AR203" s="168"/>
      <c r="AS203" s="168"/>
      <c r="AT203" s="168"/>
      <c r="AU203" s="168"/>
      <c r="AV203" s="168"/>
      <c r="AW203" s="168"/>
      <c r="AX203" s="168"/>
      <c r="AY203" s="168"/>
      <c r="AZ203" s="168">
        <f t="shared" si="42"/>
        <v>0</v>
      </c>
      <c r="BA203" s="141"/>
      <c r="IH203" s="142"/>
      <c r="II203" s="142"/>
      <c r="IJ203" s="142"/>
      <c r="IK203" s="142"/>
      <c r="IL203" s="142"/>
      <c r="IM203" s="142"/>
      <c r="IN203" s="142"/>
    </row>
    <row r="204" s="135" customFormat="1" ht="12.95" customHeight="1" spans="1:248">
      <c r="A204" s="154"/>
      <c r="B204" s="181"/>
      <c r="C204" s="181"/>
      <c r="D204" s="181"/>
      <c r="E204" s="181"/>
      <c r="F204" s="181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  <c r="AE204" s="160"/>
      <c r="AF204" s="160"/>
      <c r="AG204" s="160"/>
      <c r="AH204" s="160"/>
      <c r="AI204" s="160"/>
      <c r="AJ204" s="160"/>
      <c r="AK204" s="160"/>
      <c r="AL204" s="182"/>
      <c r="AM204" s="1"/>
      <c r="AN204" s="168"/>
      <c r="AO204" s="168"/>
      <c r="AP204" s="168"/>
      <c r="AQ204" s="168"/>
      <c r="AR204" s="168"/>
      <c r="AS204" s="168"/>
      <c r="AT204" s="168"/>
      <c r="AU204" s="168"/>
      <c r="AV204" s="168"/>
      <c r="AW204" s="168"/>
      <c r="AX204" s="168"/>
      <c r="AY204" s="168"/>
      <c r="AZ204" s="168">
        <f t="shared" si="42"/>
        <v>0</v>
      </c>
      <c r="BA204" s="141"/>
      <c r="IH204" s="142"/>
      <c r="II204" s="142"/>
      <c r="IJ204" s="142"/>
      <c r="IK204" s="142"/>
      <c r="IL204" s="142"/>
      <c r="IM204" s="142"/>
      <c r="IN204" s="142"/>
    </row>
    <row r="205" s="135" customFormat="1" ht="12.95" customHeight="1" spans="1:248">
      <c r="A205" s="154"/>
      <c r="B205" s="181"/>
      <c r="C205" s="181"/>
      <c r="D205" s="181"/>
      <c r="E205" s="181"/>
      <c r="F205" s="181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0"/>
      <c r="AG205" s="160"/>
      <c r="AH205" s="160"/>
      <c r="AI205" s="160"/>
      <c r="AJ205" s="160"/>
      <c r="AK205" s="160"/>
      <c r="AL205" s="182"/>
      <c r="AM205" s="1"/>
      <c r="AN205" s="168"/>
      <c r="AO205" s="168"/>
      <c r="AP205" s="168"/>
      <c r="AQ205" s="168"/>
      <c r="AR205" s="168"/>
      <c r="AS205" s="168"/>
      <c r="AT205" s="168"/>
      <c r="AU205" s="168"/>
      <c r="AV205" s="168"/>
      <c r="AW205" s="168"/>
      <c r="AX205" s="168"/>
      <c r="AY205" s="168"/>
      <c r="AZ205" s="168">
        <f t="shared" si="42"/>
        <v>0</v>
      </c>
      <c r="BA205" s="141"/>
      <c r="IH205" s="142"/>
      <c r="II205" s="142"/>
      <c r="IJ205" s="142"/>
      <c r="IK205" s="142"/>
      <c r="IL205" s="142"/>
      <c r="IM205" s="142"/>
      <c r="IN205" s="142"/>
    </row>
    <row r="206" s="135" customFormat="1" ht="12.95" customHeight="1" spans="1:248">
      <c r="A206" s="154"/>
      <c r="B206" s="181"/>
      <c r="C206" s="181"/>
      <c r="D206" s="181"/>
      <c r="E206" s="181"/>
      <c r="F206" s="181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0"/>
      <c r="AG206" s="160"/>
      <c r="AH206" s="160"/>
      <c r="AI206" s="160"/>
      <c r="AJ206" s="160"/>
      <c r="AK206" s="160"/>
      <c r="AL206" s="182"/>
      <c r="AM206" s="1"/>
      <c r="AN206" s="168"/>
      <c r="AO206" s="168"/>
      <c r="AP206" s="168"/>
      <c r="AQ206" s="168"/>
      <c r="AR206" s="168"/>
      <c r="AS206" s="168"/>
      <c r="AT206" s="168"/>
      <c r="AU206" s="168"/>
      <c r="AV206" s="168"/>
      <c r="AW206" s="168"/>
      <c r="AX206" s="168"/>
      <c r="AY206" s="168"/>
      <c r="AZ206" s="168">
        <f t="shared" si="42"/>
        <v>0</v>
      </c>
      <c r="BA206" s="141"/>
      <c r="IH206" s="142"/>
      <c r="II206" s="142"/>
      <c r="IJ206" s="142"/>
      <c r="IK206" s="142"/>
      <c r="IL206" s="142"/>
      <c r="IM206" s="142"/>
      <c r="IN206" s="142"/>
    </row>
    <row r="207" s="135" customFormat="1" ht="12.95" customHeight="1" spans="1:248">
      <c r="A207" s="154"/>
      <c r="B207" s="181"/>
      <c r="C207" s="181"/>
      <c r="D207" s="181"/>
      <c r="E207" s="181"/>
      <c r="F207" s="181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  <c r="AD207" s="160"/>
      <c r="AE207" s="160"/>
      <c r="AF207" s="160"/>
      <c r="AG207" s="160"/>
      <c r="AH207" s="160"/>
      <c r="AI207" s="160"/>
      <c r="AJ207" s="160"/>
      <c r="AK207" s="160"/>
      <c r="AL207" s="182"/>
      <c r="AM207" s="1"/>
      <c r="AN207" s="168"/>
      <c r="AO207" s="168"/>
      <c r="AP207" s="168"/>
      <c r="AQ207" s="168"/>
      <c r="AR207" s="168"/>
      <c r="AS207" s="168"/>
      <c r="AT207" s="168"/>
      <c r="AU207" s="168"/>
      <c r="AV207" s="168"/>
      <c r="AW207" s="168"/>
      <c r="AX207" s="168"/>
      <c r="AY207" s="168"/>
      <c r="AZ207" s="168">
        <f t="shared" si="42"/>
        <v>0</v>
      </c>
      <c r="BA207" s="141"/>
      <c r="IH207" s="142"/>
      <c r="II207" s="142"/>
      <c r="IJ207" s="142"/>
      <c r="IK207" s="142"/>
      <c r="IL207" s="142"/>
      <c r="IM207" s="142"/>
      <c r="IN207" s="142"/>
    </row>
    <row r="208" s="135" customFormat="1" ht="12.95" customHeight="1" spans="1:248">
      <c r="A208" s="154"/>
      <c r="B208" s="181"/>
      <c r="C208" s="181"/>
      <c r="D208" s="181"/>
      <c r="E208" s="181"/>
      <c r="F208" s="181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  <c r="AA208" s="160"/>
      <c r="AB208" s="160"/>
      <c r="AC208" s="160"/>
      <c r="AD208" s="160"/>
      <c r="AE208" s="160"/>
      <c r="AF208" s="160"/>
      <c r="AG208" s="160"/>
      <c r="AH208" s="160"/>
      <c r="AI208" s="160"/>
      <c r="AJ208" s="160"/>
      <c r="AK208" s="160"/>
      <c r="AL208" s="182"/>
      <c r="AM208" s="1"/>
      <c r="AN208" s="168"/>
      <c r="AO208" s="168"/>
      <c r="AP208" s="168"/>
      <c r="AQ208" s="168"/>
      <c r="AR208" s="168"/>
      <c r="AS208" s="168"/>
      <c r="AT208" s="168"/>
      <c r="AU208" s="168"/>
      <c r="AV208" s="168"/>
      <c r="AW208" s="168"/>
      <c r="AX208" s="168"/>
      <c r="AY208" s="168"/>
      <c r="AZ208" s="168">
        <f t="shared" si="42"/>
        <v>0</v>
      </c>
      <c r="BA208" s="141"/>
      <c r="IH208" s="142"/>
      <c r="II208" s="142"/>
      <c r="IJ208" s="142"/>
      <c r="IK208" s="142"/>
      <c r="IL208" s="142"/>
      <c r="IM208" s="142"/>
      <c r="IN208" s="142"/>
    </row>
    <row r="209" s="135" customFormat="1" ht="12.95" customHeight="1" spans="1:248">
      <c r="A209" s="154"/>
      <c r="B209" s="181"/>
      <c r="C209" s="181"/>
      <c r="D209" s="181"/>
      <c r="E209" s="181"/>
      <c r="F209" s="181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0"/>
      <c r="AD209" s="160"/>
      <c r="AE209" s="160"/>
      <c r="AF209" s="160"/>
      <c r="AG209" s="160"/>
      <c r="AH209" s="160"/>
      <c r="AI209" s="160"/>
      <c r="AJ209" s="160"/>
      <c r="AK209" s="160"/>
      <c r="AL209" s="182"/>
      <c r="AM209" s="1"/>
      <c r="AN209" s="168"/>
      <c r="AO209" s="168"/>
      <c r="AP209" s="168"/>
      <c r="AQ209" s="168"/>
      <c r="AR209" s="168"/>
      <c r="AS209" s="168"/>
      <c r="AT209" s="168"/>
      <c r="AU209" s="168"/>
      <c r="AV209" s="168"/>
      <c r="AW209" s="168"/>
      <c r="AX209" s="168"/>
      <c r="AY209" s="168"/>
      <c r="AZ209" s="168">
        <f t="shared" si="42"/>
        <v>0</v>
      </c>
      <c r="BA209" s="141"/>
      <c r="IH209" s="142"/>
      <c r="II209" s="142"/>
      <c r="IJ209" s="142"/>
      <c r="IK209" s="142"/>
      <c r="IL209" s="142"/>
      <c r="IM209" s="142"/>
      <c r="IN209" s="142"/>
    </row>
    <row r="210" s="135" customFormat="1" ht="12.95" customHeight="1" spans="1:248">
      <c r="A210" s="154"/>
      <c r="B210" s="181"/>
      <c r="C210" s="181"/>
      <c r="D210" s="181"/>
      <c r="E210" s="181"/>
      <c r="F210" s="181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  <c r="AA210" s="160"/>
      <c r="AB210" s="160"/>
      <c r="AC210" s="160"/>
      <c r="AD210" s="160"/>
      <c r="AE210" s="160"/>
      <c r="AF210" s="160"/>
      <c r="AG210" s="160"/>
      <c r="AH210" s="160"/>
      <c r="AI210" s="160"/>
      <c r="AJ210" s="160"/>
      <c r="AK210" s="160"/>
      <c r="AL210" s="182"/>
      <c r="AM210" s="1"/>
      <c r="AN210" s="168"/>
      <c r="AO210" s="168"/>
      <c r="AP210" s="168"/>
      <c r="AQ210" s="168"/>
      <c r="AR210" s="168"/>
      <c r="AS210" s="168"/>
      <c r="AT210" s="168"/>
      <c r="AU210" s="168"/>
      <c r="AV210" s="168"/>
      <c r="AW210" s="168"/>
      <c r="AX210" s="168"/>
      <c r="AY210" s="168"/>
      <c r="AZ210" s="168">
        <f t="shared" si="42"/>
        <v>0</v>
      </c>
      <c r="BA210" s="141"/>
      <c r="IH210" s="142"/>
      <c r="II210" s="142"/>
      <c r="IJ210" s="142"/>
      <c r="IK210" s="142"/>
      <c r="IL210" s="142"/>
      <c r="IM210" s="142"/>
      <c r="IN210" s="142"/>
    </row>
    <row r="211" s="135" customFormat="1" ht="12.95" customHeight="1" spans="1:248">
      <c r="A211" s="154"/>
      <c r="B211" s="181"/>
      <c r="C211" s="181"/>
      <c r="D211" s="181"/>
      <c r="E211" s="181"/>
      <c r="F211" s="181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  <c r="AA211" s="160"/>
      <c r="AB211" s="160"/>
      <c r="AC211" s="160"/>
      <c r="AD211" s="160"/>
      <c r="AE211" s="160"/>
      <c r="AF211" s="160"/>
      <c r="AG211" s="160"/>
      <c r="AH211" s="160"/>
      <c r="AI211" s="160"/>
      <c r="AJ211" s="160"/>
      <c r="AK211" s="160"/>
      <c r="AL211" s="182"/>
      <c r="AM211" s="1"/>
      <c r="AN211" s="168"/>
      <c r="AO211" s="168"/>
      <c r="AP211" s="168"/>
      <c r="AQ211" s="168"/>
      <c r="AR211" s="168"/>
      <c r="AS211" s="168"/>
      <c r="AT211" s="168"/>
      <c r="AU211" s="168"/>
      <c r="AV211" s="168"/>
      <c r="AW211" s="168"/>
      <c r="AX211" s="168"/>
      <c r="AY211" s="168"/>
      <c r="AZ211" s="168">
        <f t="shared" si="42"/>
        <v>0</v>
      </c>
      <c r="BA211" s="141"/>
      <c r="IH211" s="142"/>
      <c r="II211" s="142"/>
      <c r="IJ211" s="142"/>
      <c r="IK211" s="142"/>
      <c r="IL211" s="142"/>
      <c r="IM211" s="142"/>
      <c r="IN211" s="142"/>
    </row>
    <row r="212" s="135" customFormat="1" ht="12.95" customHeight="1" spans="1:248">
      <c r="A212" s="154"/>
      <c r="B212" s="181"/>
      <c r="C212" s="181"/>
      <c r="D212" s="181"/>
      <c r="E212" s="181"/>
      <c r="F212" s="181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  <c r="AD212" s="160"/>
      <c r="AE212" s="160"/>
      <c r="AF212" s="160"/>
      <c r="AG212" s="160"/>
      <c r="AH212" s="160"/>
      <c r="AI212" s="160"/>
      <c r="AJ212" s="160"/>
      <c r="AK212" s="160"/>
      <c r="AL212" s="182"/>
      <c r="AM212" s="1"/>
      <c r="AN212" s="168"/>
      <c r="AO212" s="168"/>
      <c r="AP212" s="168"/>
      <c r="AQ212" s="168"/>
      <c r="AR212" s="168"/>
      <c r="AS212" s="168"/>
      <c r="AT212" s="168"/>
      <c r="AU212" s="168"/>
      <c r="AV212" s="168"/>
      <c r="AW212" s="168"/>
      <c r="AX212" s="168"/>
      <c r="AY212" s="168"/>
      <c r="AZ212" s="168">
        <f t="shared" si="42"/>
        <v>0</v>
      </c>
      <c r="BA212" s="141"/>
      <c r="IH212" s="142"/>
      <c r="II212" s="142"/>
      <c r="IJ212" s="142"/>
      <c r="IK212" s="142"/>
      <c r="IL212" s="142"/>
      <c r="IM212" s="142"/>
      <c r="IN212" s="142"/>
    </row>
    <row r="213" s="135" customFormat="1" ht="12.95" customHeight="1" spans="1:248">
      <c r="A213" s="154"/>
      <c r="B213" s="181"/>
      <c r="C213" s="181"/>
      <c r="D213" s="181"/>
      <c r="E213" s="181"/>
      <c r="F213" s="181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  <c r="AA213" s="160"/>
      <c r="AB213" s="160"/>
      <c r="AC213" s="160"/>
      <c r="AD213" s="160"/>
      <c r="AE213" s="160"/>
      <c r="AF213" s="160"/>
      <c r="AG213" s="160"/>
      <c r="AH213" s="160"/>
      <c r="AI213" s="160"/>
      <c r="AJ213" s="160"/>
      <c r="AK213" s="160"/>
      <c r="AL213" s="182"/>
      <c r="AM213" s="1"/>
      <c r="AN213" s="168"/>
      <c r="AO213" s="168"/>
      <c r="AP213" s="168"/>
      <c r="AQ213" s="168"/>
      <c r="AR213" s="168"/>
      <c r="AS213" s="168"/>
      <c r="AT213" s="168"/>
      <c r="AU213" s="168"/>
      <c r="AV213" s="168"/>
      <c r="AW213" s="168"/>
      <c r="AX213" s="168"/>
      <c r="AY213" s="168"/>
      <c r="AZ213" s="168">
        <f t="shared" si="42"/>
        <v>0</v>
      </c>
      <c r="BA213" s="141"/>
      <c r="IH213" s="142"/>
      <c r="II213" s="142"/>
      <c r="IJ213" s="142"/>
      <c r="IK213" s="142"/>
      <c r="IL213" s="142"/>
      <c r="IM213" s="142"/>
      <c r="IN213" s="142"/>
    </row>
    <row r="214" s="135" customFormat="1" ht="12.95" customHeight="1" spans="1:248">
      <c r="A214" s="154"/>
      <c r="B214" s="181"/>
      <c r="C214" s="181"/>
      <c r="D214" s="181"/>
      <c r="E214" s="181"/>
      <c r="F214" s="181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  <c r="AA214" s="160"/>
      <c r="AB214" s="160"/>
      <c r="AC214" s="160"/>
      <c r="AD214" s="160"/>
      <c r="AE214" s="160"/>
      <c r="AF214" s="160"/>
      <c r="AG214" s="160"/>
      <c r="AH214" s="160"/>
      <c r="AI214" s="160"/>
      <c r="AJ214" s="160"/>
      <c r="AK214" s="160"/>
      <c r="AL214" s="182"/>
      <c r="AM214" s="1"/>
      <c r="AN214" s="168"/>
      <c r="AO214" s="168"/>
      <c r="AP214" s="168"/>
      <c r="AQ214" s="168"/>
      <c r="AR214" s="168"/>
      <c r="AS214" s="168"/>
      <c r="AT214" s="168"/>
      <c r="AU214" s="168"/>
      <c r="AV214" s="168"/>
      <c r="AW214" s="168"/>
      <c r="AX214" s="168"/>
      <c r="AY214" s="168"/>
      <c r="AZ214" s="168">
        <f t="shared" si="42"/>
        <v>0</v>
      </c>
      <c r="BA214" s="141"/>
      <c r="IH214" s="142"/>
      <c r="II214" s="142"/>
      <c r="IJ214" s="142"/>
      <c r="IK214" s="142"/>
      <c r="IL214" s="142"/>
      <c r="IM214" s="142"/>
      <c r="IN214" s="142"/>
    </row>
    <row r="215" s="135" customFormat="1" ht="12.95" customHeight="1" spans="1:248">
      <c r="A215" s="154"/>
      <c r="B215" s="181"/>
      <c r="C215" s="181"/>
      <c r="D215" s="181"/>
      <c r="E215" s="181"/>
      <c r="F215" s="181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  <c r="AA215" s="160"/>
      <c r="AB215" s="160"/>
      <c r="AC215" s="160"/>
      <c r="AD215" s="160"/>
      <c r="AE215" s="160"/>
      <c r="AF215" s="160"/>
      <c r="AG215" s="160"/>
      <c r="AH215" s="160"/>
      <c r="AI215" s="160"/>
      <c r="AJ215" s="160"/>
      <c r="AK215" s="160"/>
      <c r="AL215" s="182"/>
      <c r="AM215" s="1"/>
      <c r="AN215" s="168"/>
      <c r="AO215" s="168"/>
      <c r="AP215" s="168"/>
      <c r="AQ215" s="168"/>
      <c r="AR215" s="168"/>
      <c r="AS215" s="168"/>
      <c r="AT215" s="168"/>
      <c r="AU215" s="168"/>
      <c r="AV215" s="168"/>
      <c r="AW215" s="168"/>
      <c r="AX215" s="168"/>
      <c r="AY215" s="168"/>
      <c r="AZ215" s="168">
        <f t="shared" si="42"/>
        <v>0</v>
      </c>
      <c r="BA215" s="141"/>
      <c r="IH215" s="142"/>
      <c r="II215" s="142"/>
      <c r="IJ215" s="142"/>
      <c r="IK215" s="142"/>
      <c r="IL215" s="142"/>
      <c r="IM215" s="142"/>
      <c r="IN215" s="142"/>
    </row>
    <row r="216" s="135" customFormat="1" ht="12.95" customHeight="1" spans="1:248">
      <c r="A216" s="154"/>
      <c r="B216" s="181"/>
      <c r="C216" s="181"/>
      <c r="D216" s="181"/>
      <c r="E216" s="181"/>
      <c r="F216" s="181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  <c r="AA216" s="160"/>
      <c r="AB216" s="160"/>
      <c r="AC216" s="160"/>
      <c r="AD216" s="160"/>
      <c r="AE216" s="160"/>
      <c r="AF216" s="160"/>
      <c r="AG216" s="160"/>
      <c r="AH216" s="160"/>
      <c r="AI216" s="160"/>
      <c r="AJ216" s="160"/>
      <c r="AK216" s="160"/>
      <c r="AL216" s="182"/>
      <c r="AM216" s="1"/>
      <c r="AN216" s="168"/>
      <c r="AO216" s="168"/>
      <c r="AP216" s="168"/>
      <c r="AQ216" s="168"/>
      <c r="AR216" s="168"/>
      <c r="AS216" s="168"/>
      <c r="AT216" s="168"/>
      <c r="AU216" s="168"/>
      <c r="AV216" s="168"/>
      <c r="AW216" s="168"/>
      <c r="AX216" s="168"/>
      <c r="AY216" s="168"/>
      <c r="AZ216" s="168">
        <f t="shared" si="42"/>
        <v>0</v>
      </c>
      <c r="BA216" s="141"/>
      <c r="IH216" s="142"/>
      <c r="II216" s="142"/>
      <c r="IJ216" s="142"/>
      <c r="IK216" s="142"/>
      <c r="IL216" s="142"/>
      <c r="IM216" s="142"/>
      <c r="IN216" s="142"/>
    </row>
    <row r="217" s="135" customFormat="1" ht="12.95" customHeight="1" spans="1:248">
      <c r="A217" s="154"/>
      <c r="B217" s="181"/>
      <c r="C217" s="181"/>
      <c r="D217" s="181"/>
      <c r="E217" s="181"/>
      <c r="F217" s="181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  <c r="AA217" s="160"/>
      <c r="AB217" s="160"/>
      <c r="AC217" s="160"/>
      <c r="AD217" s="160"/>
      <c r="AE217" s="160"/>
      <c r="AF217" s="160"/>
      <c r="AG217" s="160"/>
      <c r="AH217" s="160"/>
      <c r="AI217" s="160"/>
      <c r="AJ217" s="160"/>
      <c r="AK217" s="160"/>
      <c r="AL217" s="182"/>
      <c r="AM217" s="1"/>
      <c r="AN217" s="168"/>
      <c r="AO217" s="168"/>
      <c r="AP217" s="168"/>
      <c r="AQ217" s="168"/>
      <c r="AR217" s="168"/>
      <c r="AS217" s="168"/>
      <c r="AT217" s="168"/>
      <c r="AU217" s="168"/>
      <c r="AV217" s="168"/>
      <c r="AW217" s="168"/>
      <c r="AX217" s="168"/>
      <c r="AY217" s="168"/>
      <c r="AZ217" s="168">
        <f t="shared" si="42"/>
        <v>0</v>
      </c>
      <c r="BA217" s="141"/>
      <c r="IH217" s="142"/>
      <c r="II217" s="142"/>
      <c r="IJ217" s="142"/>
      <c r="IK217" s="142"/>
      <c r="IL217" s="142"/>
      <c r="IM217" s="142"/>
      <c r="IN217" s="142"/>
    </row>
    <row r="218" s="135" customFormat="1" ht="12.95" customHeight="1" spans="1:248">
      <c r="A218" s="154"/>
      <c r="B218" s="181"/>
      <c r="C218" s="181"/>
      <c r="D218" s="181"/>
      <c r="E218" s="181"/>
      <c r="F218" s="181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  <c r="AA218" s="160"/>
      <c r="AB218" s="160"/>
      <c r="AC218" s="160"/>
      <c r="AD218" s="160"/>
      <c r="AE218" s="160"/>
      <c r="AF218" s="160"/>
      <c r="AG218" s="160"/>
      <c r="AH218" s="160"/>
      <c r="AI218" s="160"/>
      <c r="AJ218" s="160"/>
      <c r="AK218" s="160"/>
      <c r="AL218" s="182"/>
      <c r="AM218" s="1"/>
      <c r="AN218" s="168"/>
      <c r="AO218" s="168"/>
      <c r="AP218" s="168"/>
      <c r="AQ218" s="168"/>
      <c r="AR218" s="168"/>
      <c r="AS218" s="168"/>
      <c r="AT218" s="168"/>
      <c r="AU218" s="168"/>
      <c r="AV218" s="168"/>
      <c r="AW218" s="168"/>
      <c r="AX218" s="168"/>
      <c r="AY218" s="168"/>
      <c r="AZ218" s="168">
        <f t="shared" si="42"/>
        <v>0</v>
      </c>
      <c r="BA218" s="141"/>
      <c r="IH218" s="142"/>
      <c r="II218" s="142"/>
      <c r="IJ218" s="142"/>
      <c r="IK218" s="142"/>
      <c r="IL218" s="142"/>
      <c r="IM218" s="142"/>
      <c r="IN218" s="142"/>
    </row>
    <row r="219" s="135" customFormat="1" ht="12.95" customHeight="1" spans="1:248">
      <c r="A219" s="154"/>
      <c r="B219" s="181"/>
      <c r="C219" s="181"/>
      <c r="D219" s="181"/>
      <c r="E219" s="181"/>
      <c r="F219" s="181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  <c r="AA219" s="160"/>
      <c r="AB219" s="160"/>
      <c r="AC219" s="160"/>
      <c r="AD219" s="160"/>
      <c r="AE219" s="160"/>
      <c r="AF219" s="160"/>
      <c r="AG219" s="160"/>
      <c r="AH219" s="160"/>
      <c r="AI219" s="160"/>
      <c r="AJ219" s="160"/>
      <c r="AK219" s="160"/>
      <c r="AL219" s="182"/>
      <c r="AM219" s="1"/>
      <c r="AN219" s="168"/>
      <c r="AO219" s="168"/>
      <c r="AP219" s="168"/>
      <c r="AQ219" s="168"/>
      <c r="AR219" s="168"/>
      <c r="AS219" s="168"/>
      <c r="AT219" s="168"/>
      <c r="AU219" s="168"/>
      <c r="AV219" s="168"/>
      <c r="AW219" s="168"/>
      <c r="AX219" s="168"/>
      <c r="AY219" s="168"/>
      <c r="AZ219" s="168">
        <f t="shared" si="42"/>
        <v>0</v>
      </c>
      <c r="BA219" s="141"/>
      <c r="IH219" s="142"/>
      <c r="II219" s="142"/>
      <c r="IJ219" s="142"/>
      <c r="IK219" s="142"/>
      <c r="IL219" s="142"/>
      <c r="IM219" s="142"/>
      <c r="IN219" s="142"/>
    </row>
    <row r="220" s="135" customFormat="1" ht="12.95" customHeight="1" spans="1:248">
      <c r="A220" s="154"/>
      <c r="B220" s="181"/>
      <c r="C220" s="181"/>
      <c r="D220" s="181"/>
      <c r="E220" s="181"/>
      <c r="F220" s="181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  <c r="AA220" s="160"/>
      <c r="AB220" s="160"/>
      <c r="AC220" s="160"/>
      <c r="AD220" s="160"/>
      <c r="AE220" s="160"/>
      <c r="AF220" s="160"/>
      <c r="AG220" s="160"/>
      <c r="AH220" s="160"/>
      <c r="AI220" s="160"/>
      <c r="AJ220" s="160"/>
      <c r="AK220" s="160"/>
      <c r="AL220" s="182"/>
      <c r="AM220" s="1"/>
      <c r="AN220" s="168"/>
      <c r="AO220" s="168"/>
      <c r="AP220" s="168"/>
      <c r="AQ220" s="168"/>
      <c r="AR220" s="168"/>
      <c r="AS220" s="168"/>
      <c r="AT220" s="168"/>
      <c r="AU220" s="168"/>
      <c r="AV220" s="168"/>
      <c r="AW220" s="168"/>
      <c r="AX220" s="168"/>
      <c r="AY220" s="168"/>
      <c r="AZ220" s="168">
        <f t="shared" si="42"/>
        <v>0</v>
      </c>
      <c r="BA220" s="141"/>
      <c r="IH220" s="142"/>
      <c r="II220" s="142"/>
      <c r="IJ220" s="142"/>
      <c r="IK220" s="142"/>
      <c r="IL220" s="142"/>
      <c r="IM220" s="142"/>
      <c r="IN220" s="142"/>
    </row>
    <row r="221" s="135" customFormat="1" ht="12.95" customHeight="1" spans="1:248">
      <c r="A221" s="154"/>
      <c r="B221" s="181"/>
      <c r="C221" s="181"/>
      <c r="D221" s="181"/>
      <c r="E221" s="181"/>
      <c r="F221" s="181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  <c r="AA221" s="160"/>
      <c r="AB221" s="160"/>
      <c r="AC221" s="160"/>
      <c r="AD221" s="160"/>
      <c r="AE221" s="160"/>
      <c r="AF221" s="160"/>
      <c r="AG221" s="160"/>
      <c r="AH221" s="160"/>
      <c r="AI221" s="160"/>
      <c r="AJ221" s="160"/>
      <c r="AK221" s="160"/>
      <c r="AL221" s="182"/>
      <c r="AM221" s="1"/>
      <c r="AN221" s="168"/>
      <c r="AO221" s="168"/>
      <c r="AP221" s="168"/>
      <c r="AQ221" s="168"/>
      <c r="AR221" s="168"/>
      <c r="AS221" s="168"/>
      <c r="AT221" s="168"/>
      <c r="AU221" s="168"/>
      <c r="AV221" s="168"/>
      <c r="AW221" s="168"/>
      <c r="AX221" s="168"/>
      <c r="AY221" s="168"/>
      <c r="AZ221" s="168">
        <f t="shared" si="42"/>
        <v>0</v>
      </c>
      <c r="BA221" s="141"/>
      <c r="IH221" s="142"/>
      <c r="II221" s="142"/>
      <c r="IJ221" s="142"/>
      <c r="IK221" s="142"/>
      <c r="IL221" s="142"/>
      <c r="IM221" s="142"/>
      <c r="IN221" s="142"/>
    </row>
    <row r="222" s="135" customFormat="1" ht="12.95" customHeight="1" spans="1:248">
      <c r="A222" s="154"/>
      <c r="B222" s="181"/>
      <c r="C222" s="181"/>
      <c r="D222" s="181"/>
      <c r="E222" s="181"/>
      <c r="F222" s="181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  <c r="AA222" s="160"/>
      <c r="AB222" s="160"/>
      <c r="AC222" s="160"/>
      <c r="AD222" s="160"/>
      <c r="AE222" s="160"/>
      <c r="AF222" s="160"/>
      <c r="AG222" s="160"/>
      <c r="AH222" s="160"/>
      <c r="AI222" s="160"/>
      <c r="AJ222" s="160"/>
      <c r="AK222" s="160"/>
      <c r="AL222" s="182"/>
      <c r="AM222" s="1"/>
      <c r="AN222" s="168"/>
      <c r="AO222" s="168"/>
      <c r="AP222" s="168"/>
      <c r="AQ222" s="168"/>
      <c r="AR222" s="168"/>
      <c r="AS222" s="168"/>
      <c r="AT222" s="168"/>
      <c r="AU222" s="168"/>
      <c r="AV222" s="168"/>
      <c r="AW222" s="168"/>
      <c r="AX222" s="168"/>
      <c r="AY222" s="168"/>
      <c r="AZ222" s="168">
        <f t="shared" si="42"/>
        <v>0</v>
      </c>
      <c r="BA222" s="141"/>
      <c r="IH222" s="142"/>
      <c r="II222" s="142"/>
      <c r="IJ222" s="142"/>
      <c r="IK222" s="142"/>
      <c r="IL222" s="142"/>
      <c r="IM222" s="142"/>
      <c r="IN222" s="142"/>
    </row>
    <row r="223" s="135" customFormat="1" ht="12.95" customHeight="1" spans="1:248">
      <c r="A223" s="154"/>
      <c r="B223" s="181"/>
      <c r="C223" s="181"/>
      <c r="D223" s="181"/>
      <c r="E223" s="181"/>
      <c r="F223" s="181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  <c r="AA223" s="160"/>
      <c r="AB223" s="160"/>
      <c r="AC223" s="160"/>
      <c r="AD223" s="160"/>
      <c r="AE223" s="160"/>
      <c r="AF223" s="160"/>
      <c r="AG223" s="160"/>
      <c r="AH223" s="160"/>
      <c r="AI223" s="160"/>
      <c r="AJ223" s="160"/>
      <c r="AK223" s="160"/>
      <c r="AL223" s="182"/>
      <c r="AM223" s="1"/>
      <c r="AN223" s="168"/>
      <c r="AO223" s="168"/>
      <c r="AP223" s="168"/>
      <c r="AQ223" s="168"/>
      <c r="AR223" s="168"/>
      <c r="AS223" s="168"/>
      <c r="AT223" s="168"/>
      <c r="AU223" s="168"/>
      <c r="AV223" s="168"/>
      <c r="AW223" s="168"/>
      <c r="AX223" s="168"/>
      <c r="AY223" s="168"/>
      <c r="AZ223" s="168">
        <f t="shared" si="42"/>
        <v>0</v>
      </c>
      <c r="BA223" s="141"/>
      <c r="IH223" s="142"/>
      <c r="II223" s="142"/>
      <c r="IJ223" s="142"/>
      <c r="IK223" s="142"/>
      <c r="IL223" s="142"/>
      <c r="IM223" s="142"/>
      <c r="IN223" s="142"/>
    </row>
    <row r="224" s="135" customFormat="1" ht="12.95" customHeight="1" spans="1:248">
      <c r="A224" s="154"/>
      <c r="B224" s="181"/>
      <c r="C224" s="181"/>
      <c r="D224" s="181"/>
      <c r="E224" s="181"/>
      <c r="F224" s="181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0"/>
      <c r="AH224" s="160"/>
      <c r="AI224" s="160"/>
      <c r="AJ224" s="160"/>
      <c r="AK224" s="160"/>
      <c r="AL224" s="182"/>
      <c r="AM224" s="1"/>
      <c r="AN224" s="168"/>
      <c r="AO224" s="168"/>
      <c r="AP224" s="168"/>
      <c r="AQ224" s="168"/>
      <c r="AR224" s="168"/>
      <c r="AS224" s="168"/>
      <c r="AT224" s="168"/>
      <c r="AU224" s="168"/>
      <c r="AV224" s="168"/>
      <c r="AW224" s="168"/>
      <c r="AX224" s="168"/>
      <c r="AY224" s="168"/>
      <c r="AZ224" s="168">
        <f t="shared" si="42"/>
        <v>0</v>
      </c>
      <c r="BA224" s="141"/>
      <c r="IH224" s="142"/>
      <c r="II224" s="142"/>
      <c r="IJ224" s="142"/>
      <c r="IK224" s="142"/>
      <c r="IL224" s="142"/>
      <c r="IM224" s="142"/>
      <c r="IN224" s="142"/>
    </row>
    <row r="225" s="135" customFormat="1" ht="12.95" customHeight="1" spans="1:248">
      <c r="A225" s="154"/>
      <c r="B225" s="181"/>
      <c r="C225" s="181"/>
      <c r="D225" s="181"/>
      <c r="E225" s="181"/>
      <c r="F225" s="181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  <c r="AA225" s="160"/>
      <c r="AB225" s="160"/>
      <c r="AC225" s="160"/>
      <c r="AD225" s="160"/>
      <c r="AE225" s="160"/>
      <c r="AF225" s="160"/>
      <c r="AG225" s="160"/>
      <c r="AH225" s="160"/>
      <c r="AI225" s="160"/>
      <c r="AJ225" s="160"/>
      <c r="AK225" s="160"/>
      <c r="AL225" s="182"/>
      <c r="AM225" s="1"/>
      <c r="AN225" s="168"/>
      <c r="AO225" s="168"/>
      <c r="AP225" s="168"/>
      <c r="AQ225" s="168"/>
      <c r="AR225" s="168"/>
      <c r="AS225" s="168"/>
      <c r="AT225" s="168"/>
      <c r="AU225" s="168"/>
      <c r="AV225" s="168"/>
      <c r="AW225" s="168"/>
      <c r="AX225" s="168"/>
      <c r="AY225" s="168"/>
      <c r="AZ225" s="168">
        <f t="shared" si="42"/>
        <v>0</v>
      </c>
      <c r="BA225" s="141"/>
      <c r="IH225" s="142"/>
      <c r="II225" s="142"/>
      <c r="IJ225" s="142"/>
      <c r="IK225" s="142"/>
      <c r="IL225" s="142"/>
      <c r="IM225" s="142"/>
      <c r="IN225" s="142"/>
    </row>
    <row r="226" s="135" customFormat="1" ht="12.95" customHeight="1" spans="1:248">
      <c r="A226" s="154"/>
      <c r="B226" s="181"/>
      <c r="C226" s="181"/>
      <c r="D226" s="181"/>
      <c r="E226" s="181"/>
      <c r="F226" s="181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  <c r="AA226" s="160"/>
      <c r="AB226" s="160"/>
      <c r="AC226" s="160"/>
      <c r="AD226" s="160"/>
      <c r="AE226" s="160"/>
      <c r="AF226" s="160"/>
      <c r="AG226" s="160"/>
      <c r="AH226" s="160"/>
      <c r="AI226" s="160"/>
      <c r="AJ226" s="160"/>
      <c r="AK226" s="160"/>
      <c r="AL226" s="182"/>
      <c r="AM226" s="1"/>
      <c r="AN226" s="168"/>
      <c r="AO226" s="168"/>
      <c r="AP226" s="168"/>
      <c r="AQ226" s="168"/>
      <c r="AR226" s="168"/>
      <c r="AS226" s="168"/>
      <c r="AT226" s="168"/>
      <c r="AU226" s="168"/>
      <c r="AV226" s="168"/>
      <c r="AW226" s="168"/>
      <c r="AX226" s="168"/>
      <c r="AY226" s="168"/>
      <c r="AZ226" s="168">
        <f t="shared" si="42"/>
        <v>0</v>
      </c>
      <c r="BA226" s="141"/>
      <c r="IH226" s="142"/>
      <c r="II226" s="142"/>
      <c r="IJ226" s="142"/>
      <c r="IK226" s="142"/>
      <c r="IL226" s="142"/>
      <c r="IM226" s="142"/>
      <c r="IN226" s="142"/>
    </row>
    <row r="227" s="135" customFormat="1" ht="12.95" customHeight="1" spans="1:248">
      <c r="A227" s="154"/>
      <c r="B227" s="181"/>
      <c r="C227" s="181"/>
      <c r="D227" s="181"/>
      <c r="E227" s="181"/>
      <c r="F227" s="181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  <c r="AA227" s="160"/>
      <c r="AB227" s="160"/>
      <c r="AC227" s="160"/>
      <c r="AD227" s="160"/>
      <c r="AE227" s="160"/>
      <c r="AF227" s="160"/>
      <c r="AG227" s="160"/>
      <c r="AH227" s="160"/>
      <c r="AI227" s="160"/>
      <c r="AJ227" s="160"/>
      <c r="AK227" s="160"/>
      <c r="AL227" s="182"/>
      <c r="AM227" s="1"/>
      <c r="AN227" s="168"/>
      <c r="AO227" s="168"/>
      <c r="AP227" s="168"/>
      <c r="AQ227" s="168"/>
      <c r="AR227" s="168"/>
      <c r="AS227" s="168"/>
      <c r="AT227" s="168"/>
      <c r="AU227" s="168"/>
      <c r="AV227" s="168"/>
      <c r="AW227" s="168"/>
      <c r="AX227" s="168"/>
      <c r="AY227" s="168"/>
      <c r="AZ227" s="168">
        <f t="shared" si="42"/>
        <v>0</v>
      </c>
      <c r="BA227" s="141"/>
      <c r="IH227" s="142"/>
      <c r="II227" s="142"/>
      <c r="IJ227" s="142"/>
      <c r="IK227" s="142"/>
      <c r="IL227" s="142"/>
      <c r="IM227" s="142"/>
      <c r="IN227" s="142"/>
    </row>
    <row r="228" s="135" customFormat="1" ht="12.95" customHeight="1" spans="1:248">
      <c r="A228" s="154"/>
      <c r="B228" s="181"/>
      <c r="C228" s="181"/>
      <c r="D228" s="181"/>
      <c r="E228" s="181"/>
      <c r="F228" s="181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  <c r="AA228" s="160"/>
      <c r="AB228" s="160"/>
      <c r="AC228" s="160"/>
      <c r="AD228" s="160"/>
      <c r="AE228" s="160"/>
      <c r="AF228" s="160"/>
      <c r="AG228" s="160"/>
      <c r="AH228" s="160"/>
      <c r="AI228" s="160"/>
      <c r="AJ228" s="160"/>
      <c r="AK228" s="160"/>
      <c r="AL228" s="182"/>
      <c r="AM228" s="1"/>
      <c r="AN228" s="168"/>
      <c r="AO228" s="168"/>
      <c r="AP228" s="168"/>
      <c r="AQ228" s="168"/>
      <c r="AR228" s="168"/>
      <c r="AS228" s="168"/>
      <c r="AT228" s="168"/>
      <c r="AU228" s="168"/>
      <c r="AV228" s="168"/>
      <c r="AW228" s="168"/>
      <c r="AX228" s="168"/>
      <c r="AY228" s="168"/>
      <c r="AZ228" s="168">
        <f t="shared" si="42"/>
        <v>0</v>
      </c>
      <c r="BA228" s="141"/>
      <c r="IH228" s="142"/>
      <c r="II228" s="142"/>
      <c r="IJ228" s="142"/>
      <c r="IK228" s="142"/>
      <c r="IL228" s="142"/>
      <c r="IM228" s="142"/>
      <c r="IN228" s="142"/>
    </row>
    <row r="229" s="135" customFormat="1" ht="12.95" customHeight="1" spans="1:248">
      <c r="A229" s="154"/>
      <c r="B229" s="181"/>
      <c r="C229" s="181"/>
      <c r="D229" s="181"/>
      <c r="E229" s="181"/>
      <c r="F229" s="181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  <c r="AA229" s="160"/>
      <c r="AB229" s="160"/>
      <c r="AC229" s="160"/>
      <c r="AD229" s="160"/>
      <c r="AE229" s="160"/>
      <c r="AF229" s="160"/>
      <c r="AG229" s="160"/>
      <c r="AH229" s="160"/>
      <c r="AI229" s="160"/>
      <c r="AJ229" s="160"/>
      <c r="AK229" s="160"/>
      <c r="AL229" s="182"/>
      <c r="AM229" s="1"/>
      <c r="AN229" s="168"/>
      <c r="AO229" s="168"/>
      <c r="AP229" s="168"/>
      <c r="AQ229" s="168"/>
      <c r="AR229" s="168"/>
      <c r="AS229" s="168"/>
      <c r="AT229" s="168"/>
      <c r="AU229" s="168"/>
      <c r="AV229" s="168"/>
      <c r="AW229" s="168"/>
      <c r="AX229" s="168"/>
      <c r="AY229" s="168"/>
      <c r="AZ229" s="168">
        <f t="shared" si="42"/>
        <v>0</v>
      </c>
      <c r="BA229" s="141"/>
      <c r="IH229" s="142"/>
      <c r="II229" s="142"/>
      <c r="IJ229" s="142"/>
      <c r="IK229" s="142"/>
      <c r="IL229" s="142"/>
      <c r="IM229" s="142"/>
      <c r="IN229" s="142"/>
    </row>
    <row r="230" s="135" customFormat="1" ht="12.95" customHeight="1" spans="1:248">
      <c r="A230" s="154"/>
      <c r="B230" s="181"/>
      <c r="C230" s="181"/>
      <c r="D230" s="181"/>
      <c r="E230" s="181"/>
      <c r="F230" s="181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  <c r="AA230" s="160"/>
      <c r="AB230" s="160"/>
      <c r="AC230" s="160"/>
      <c r="AD230" s="160"/>
      <c r="AE230" s="160"/>
      <c r="AF230" s="160"/>
      <c r="AG230" s="160"/>
      <c r="AH230" s="160"/>
      <c r="AI230" s="160"/>
      <c r="AJ230" s="160"/>
      <c r="AK230" s="160"/>
      <c r="AL230" s="182"/>
      <c r="AM230" s="1"/>
      <c r="AN230" s="168"/>
      <c r="AO230" s="168"/>
      <c r="AP230" s="168"/>
      <c r="AQ230" s="168"/>
      <c r="AR230" s="168"/>
      <c r="AS230" s="168"/>
      <c r="AT230" s="168"/>
      <c r="AU230" s="168"/>
      <c r="AV230" s="168"/>
      <c r="AW230" s="168"/>
      <c r="AX230" s="168"/>
      <c r="AY230" s="168"/>
      <c r="AZ230" s="168">
        <f t="shared" si="42"/>
        <v>0</v>
      </c>
      <c r="BA230" s="141"/>
      <c r="IH230" s="142"/>
      <c r="II230" s="142"/>
      <c r="IJ230" s="142"/>
      <c r="IK230" s="142"/>
      <c r="IL230" s="142"/>
      <c r="IM230" s="142"/>
      <c r="IN230" s="142"/>
    </row>
    <row r="231" s="135" customFormat="1" ht="12.95" customHeight="1" spans="1:248">
      <c r="A231" s="154"/>
      <c r="B231" s="181"/>
      <c r="C231" s="181"/>
      <c r="D231" s="181"/>
      <c r="E231" s="181"/>
      <c r="F231" s="181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  <c r="AA231" s="160"/>
      <c r="AB231" s="160"/>
      <c r="AC231" s="160"/>
      <c r="AD231" s="160"/>
      <c r="AE231" s="160"/>
      <c r="AF231" s="160"/>
      <c r="AG231" s="160"/>
      <c r="AH231" s="160"/>
      <c r="AI231" s="160"/>
      <c r="AJ231" s="160"/>
      <c r="AK231" s="160"/>
      <c r="AL231" s="182"/>
      <c r="AM231" s="1"/>
      <c r="AN231" s="168"/>
      <c r="AO231" s="168"/>
      <c r="AP231" s="168"/>
      <c r="AQ231" s="168"/>
      <c r="AR231" s="168"/>
      <c r="AS231" s="168"/>
      <c r="AT231" s="168"/>
      <c r="AU231" s="168"/>
      <c r="AV231" s="168"/>
      <c r="AW231" s="168"/>
      <c r="AX231" s="168"/>
      <c r="AY231" s="168"/>
      <c r="AZ231" s="168">
        <f t="shared" si="42"/>
        <v>0</v>
      </c>
      <c r="BA231" s="141"/>
      <c r="IH231" s="142"/>
      <c r="II231" s="142"/>
      <c r="IJ231" s="142"/>
      <c r="IK231" s="142"/>
      <c r="IL231" s="142"/>
      <c r="IM231" s="142"/>
      <c r="IN231" s="142"/>
    </row>
    <row r="232" s="135" customFormat="1" ht="12.95" customHeight="1" spans="1:248">
      <c r="A232" s="154"/>
      <c r="B232" s="181"/>
      <c r="C232" s="181"/>
      <c r="D232" s="181"/>
      <c r="E232" s="181"/>
      <c r="F232" s="181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  <c r="AA232" s="160"/>
      <c r="AB232" s="160"/>
      <c r="AC232" s="160"/>
      <c r="AD232" s="160"/>
      <c r="AE232" s="160"/>
      <c r="AF232" s="160"/>
      <c r="AG232" s="160"/>
      <c r="AH232" s="160"/>
      <c r="AI232" s="160"/>
      <c r="AJ232" s="160"/>
      <c r="AK232" s="160"/>
      <c r="AL232" s="182"/>
      <c r="AM232" s="1"/>
      <c r="AN232" s="168"/>
      <c r="AO232" s="168"/>
      <c r="AP232" s="168"/>
      <c r="AQ232" s="168"/>
      <c r="AR232" s="168"/>
      <c r="AS232" s="168"/>
      <c r="AT232" s="168"/>
      <c r="AU232" s="168"/>
      <c r="AV232" s="168"/>
      <c r="AW232" s="168"/>
      <c r="AX232" s="168"/>
      <c r="AY232" s="168"/>
      <c r="AZ232" s="168">
        <f t="shared" si="42"/>
        <v>0</v>
      </c>
      <c r="BA232" s="141"/>
      <c r="IH232" s="142"/>
      <c r="II232" s="142"/>
      <c r="IJ232" s="142"/>
      <c r="IK232" s="142"/>
      <c r="IL232" s="142"/>
      <c r="IM232" s="142"/>
      <c r="IN232" s="142"/>
    </row>
    <row r="233" s="135" customFormat="1" ht="12.95" customHeight="1" spans="1:248">
      <c r="A233" s="154"/>
      <c r="B233" s="181"/>
      <c r="C233" s="181"/>
      <c r="D233" s="181"/>
      <c r="E233" s="181"/>
      <c r="F233" s="181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  <c r="AA233" s="160"/>
      <c r="AB233" s="160"/>
      <c r="AC233" s="160"/>
      <c r="AD233" s="160"/>
      <c r="AE233" s="160"/>
      <c r="AF233" s="160"/>
      <c r="AG233" s="160"/>
      <c r="AH233" s="160"/>
      <c r="AI233" s="160"/>
      <c r="AJ233" s="160"/>
      <c r="AK233" s="160"/>
      <c r="AL233" s="182"/>
      <c r="AM233" s="1"/>
      <c r="AN233" s="168"/>
      <c r="AO233" s="168"/>
      <c r="AP233" s="168"/>
      <c r="AQ233" s="168"/>
      <c r="AR233" s="168"/>
      <c r="AS233" s="168"/>
      <c r="AT233" s="168"/>
      <c r="AU233" s="168"/>
      <c r="AV233" s="168"/>
      <c r="AW233" s="168"/>
      <c r="AX233" s="168"/>
      <c r="AY233" s="168"/>
      <c r="AZ233" s="168">
        <f t="shared" si="42"/>
        <v>0</v>
      </c>
      <c r="BA233" s="141"/>
      <c r="IH233" s="142"/>
      <c r="II233" s="142"/>
      <c r="IJ233" s="142"/>
      <c r="IK233" s="142"/>
      <c r="IL233" s="142"/>
      <c r="IM233" s="142"/>
      <c r="IN233" s="142"/>
    </row>
    <row r="234" s="135" customFormat="1" ht="12.95" customHeight="1" spans="1:248">
      <c r="A234" s="154"/>
      <c r="B234" s="181"/>
      <c r="C234" s="181"/>
      <c r="D234" s="181"/>
      <c r="E234" s="181"/>
      <c r="F234" s="181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  <c r="AA234" s="160"/>
      <c r="AB234" s="160"/>
      <c r="AC234" s="160"/>
      <c r="AD234" s="160"/>
      <c r="AE234" s="160"/>
      <c r="AF234" s="160"/>
      <c r="AG234" s="160"/>
      <c r="AH234" s="160"/>
      <c r="AI234" s="160"/>
      <c r="AJ234" s="160"/>
      <c r="AK234" s="160"/>
      <c r="AL234" s="182"/>
      <c r="AM234" s="1"/>
      <c r="AN234" s="168"/>
      <c r="AO234" s="168"/>
      <c r="AP234" s="168"/>
      <c r="AQ234" s="168"/>
      <c r="AR234" s="168"/>
      <c r="AS234" s="168"/>
      <c r="AT234" s="168"/>
      <c r="AU234" s="168"/>
      <c r="AV234" s="168"/>
      <c r="AW234" s="168"/>
      <c r="AX234" s="168"/>
      <c r="AY234" s="168"/>
      <c r="AZ234" s="168">
        <f t="shared" si="42"/>
        <v>0</v>
      </c>
      <c r="BA234" s="141"/>
      <c r="IH234" s="142"/>
      <c r="II234" s="142"/>
      <c r="IJ234" s="142"/>
      <c r="IK234" s="142"/>
      <c r="IL234" s="142"/>
      <c r="IM234" s="142"/>
      <c r="IN234" s="142"/>
    </row>
    <row r="235" s="135" customFormat="1" ht="12.95" customHeight="1" spans="1:248">
      <c r="A235" s="154"/>
      <c r="B235" s="181"/>
      <c r="C235" s="181"/>
      <c r="D235" s="181"/>
      <c r="E235" s="181"/>
      <c r="F235" s="181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  <c r="AA235" s="160"/>
      <c r="AB235" s="160"/>
      <c r="AC235" s="160"/>
      <c r="AD235" s="160"/>
      <c r="AE235" s="160"/>
      <c r="AF235" s="160"/>
      <c r="AG235" s="160"/>
      <c r="AH235" s="160"/>
      <c r="AI235" s="160"/>
      <c r="AJ235" s="160"/>
      <c r="AK235" s="160"/>
      <c r="AL235" s="182"/>
      <c r="AM235" s="1"/>
      <c r="AN235" s="168"/>
      <c r="AO235" s="168"/>
      <c r="AP235" s="168"/>
      <c r="AQ235" s="168"/>
      <c r="AR235" s="168"/>
      <c r="AS235" s="168"/>
      <c r="AT235" s="168"/>
      <c r="AU235" s="168"/>
      <c r="AV235" s="168"/>
      <c r="AW235" s="168"/>
      <c r="AX235" s="168"/>
      <c r="AY235" s="168"/>
      <c r="AZ235" s="168">
        <f t="shared" si="42"/>
        <v>0</v>
      </c>
      <c r="BA235" s="141"/>
      <c r="IH235" s="142"/>
      <c r="II235" s="142"/>
      <c r="IJ235" s="142"/>
      <c r="IK235" s="142"/>
      <c r="IL235" s="142"/>
      <c r="IM235" s="142"/>
      <c r="IN235" s="142"/>
    </row>
    <row r="236" s="135" customFormat="1" ht="12.95" customHeight="1" spans="1:248">
      <c r="A236" s="154"/>
      <c r="B236" s="181"/>
      <c r="C236" s="181"/>
      <c r="D236" s="181"/>
      <c r="E236" s="181"/>
      <c r="F236" s="181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  <c r="AA236" s="160"/>
      <c r="AB236" s="160"/>
      <c r="AC236" s="160"/>
      <c r="AD236" s="160"/>
      <c r="AE236" s="160"/>
      <c r="AF236" s="160"/>
      <c r="AG236" s="160"/>
      <c r="AH236" s="160"/>
      <c r="AI236" s="160"/>
      <c r="AJ236" s="160"/>
      <c r="AK236" s="160"/>
      <c r="AL236" s="182"/>
      <c r="AM236" s="1"/>
      <c r="AN236" s="168"/>
      <c r="AO236" s="168"/>
      <c r="AP236" s="168"/>
      <c r="AQ236" s="168"/>
      <c r="AR236" s="168"/>
      <c r="AS236" s="168"/>
      <c r="AT236" s="168"/>
      <c r="AU236" s="168"/>
      <c r="AV236" s="168"/>
      <c r="AW236" s="168"/>
      <c r="AX236" s="168"/>
      <c r="AY236" s="168"/>
      <c r="AZ236" s="168">
        <f t="shared" si="42"/>
        <v>0</v>
      </c>
      <c r="BA236" s="141"/>
      <c r="IH236" s="142"/>
      <c r="II236" s="142"/>
      <c r="IJ236" s="142"/>
      <c r="IK236" s="142"/>
      <c r="IL236" s="142"/>
      <c r="IM236" s="142"/>
      <c r="IN236" s="142"/>
    </row>
    <row r="237" s="135" customFormat="1" ht="12.95" customHeight="1" spans="1:248">
      <c r="A237" s="154"/>
      <c r="B237" s="181"/>
      <c r="C237" s="181"/>
      <c r="D237" s="181"/>
      <c r="E237" s="181"/>
      <c r="F237" s="181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  <c r="AA237" s="160"/>
      <c r="AB237" s="160"/>
      <c r="AC237" s="160"/>
      <c r="AD237" s="160"/>
      <c r="AE237" s="160"/>
      <c r="AF237" s="160"/>
      <c r="AG237" s="160"/>
      <c r="AH237" s="160"/>
      <c r="AI237" s="160"/>
      <c r="AJ237" s="160"/>
      <c r="AK237" s="160"/>
      <c r="AL237" s="182"/>
      <c r="AM237" s="1"/>
      <c r="AN237" s="168"/>
      <c r="AO237" s="168"/>
      <c r="AP237" s="168"/>
      <c r="AQ237" s="168"/>
      <c r="AR237" s="168"/>
      <c r="AS237" s="168"/>
      <c r="AT237" s="168"/>
      <c r="AU237" s="168"/>
      <c r="AV237" s="168"/>
      <c r="AW237" s="168"/>
      <c r="AX237" s="168"/>
      <c r="AY237" s="168"/>
      <c r="AZ237" s="168">
        <f t="shared" si="42"/>
        <v>0</v>
      </c>
      <c r="BA237" s="141"/>
      <c r="IH237" s="142"/>
      <c r="II237" s="142"/>
      <c r="IJ237" s="142"/>
      <c r="IK237" s="142"/>
      <c r="IL237" s="142"/>
      <c r="IM237" s="142"/>
      <c r="IN237" s="142"/>
    </row>
    <row r="238" s="135" customFormat="1" ht="12.95" customHeight="1" spans="1:248">
      <c r="A238" s="154"/>
      <c r="B238" s="181"/>
      <c r="C238" s="181"/>
      <c r="D238" s="181"/>
      <c r="E238" s="181"/>
      <c r="F238" s="181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  <c r="AA238" s="160"/>
      <c r="AB238" s="160"/>
      <c r="AC238" s="160"/>
      <c r="AD238" s="160"/>
      <c r="AE238" s="160"/>
      <c r="AF238" s="160"/>
      <c r="AG238" s="160"/>
      <c r="AH238" s="160"/>
      <c r="AI238" s="160"/>
      <c r="AJ238" s="160"/>
      <c r="AK238" s="160"/>
      <c r="AL238" s="182"/>
      <c r="AM238" s="1"/>
      <c r="AN238" s="168"/>
      <c r="AO238" s="168"/>
      <c r="AP238" s="168"/>
      <c r="AQ238" s="168"/>
      <c r="AR238" s="168"/>
      <c r="AS238" s="168"/>
      <c r="AT238" s="168"/>
      <c r="AU238" s="168"/>
      <c r="AV238" s="168"/>
      <c r="AW238" s="168"/>
      <c r="AX238" s="168"/>
      <c r="AY238" s="168"/>
      <c r="AZ238" s="168">
        <f t="shared" si="42"/>
        <v>0</v>
      </c>
      <c r="BA238" s="141"/>
      <c r="IH238" s="142"/>
      <c r="II238" s="142"/>
      <c r="IJ238" s="142"/>
      <c r="IK238" s="142"/>
      <c r="IL238" s="142"/>
      <c r="IM238" s="142"/>
      <c r="IN238" s="142"/>
    </row>
    <row r="239" s="135" customFormat="1" ht="12.95" customHeight="1" spans="1:248">
      <c r="A239" s="154"/>
      <c r="B239" s="181"/>
      <c r="C239" s="181"/>
      <c r="D239" s="181"/>
      <c r="E239" s="181"/>
      <c r="F239" s="181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  <c r="AA239" s="160"/>
      <c r="AB239" s="160"/>
      <c r="AC239" s="160"/>
      <c r="AD239" s="160"/>
      <c r="AE239" s="160"/>
      <c r="AF239" s="160"/>
      <c r="AG239" s="160"/>
      <c r="AH239" s="160"/>
      <c r="AI239" s="160"/>
      <c r="AJ239" s="160"/>
      <c r="AK239" s="160"/>
      <c r="AL239" s="182"/>
      <c r="AM239" s="1"/>
      <c r="AN239" s="168"/>
      <c r="AO239" s="168"/>
      <c r="AP239" s="168"/>
      <c r="AQ239" s="168"/>
      <c r="AR239" s="168"/>
      <c r="AS239" s="168"/>
      <c r="AT239" s="168"/>
      <c r="AU239" s="168"/>
      <c r="AV239" s="168"/>
      <c r="AW239" s="168"/>
      <c r="AX239" s="168"/>
      <c r="AY239" s="168"/>
      <c r="AZ239" s="168">
        <f t="shared" si="42"/>
        <v>0</v>
      </c>
      <c r="BA239" s="141"/>
      <c r="IH239" s="142"/>
      <c r="II239" s="142"/>
      <c r="IJ239" s="142"/>
      <c r="IK239" s="142"/>
      <c r="IL239" s="142"/>
      <c r="IM239" s="142"/>
      <c r="IN239" s="142"/>
    </row>
    <row r="240" s="135" customFormat="1" ht="12.95" customHeight="1" spans="1:248">
      <c r="A240" s="154"/>
      <c r="B240" s="181"/>
      <c r="C240" s="181"/>
      <c r="D240" s="181"/>
      <c r="E240" s="181"/>
      <c r="F240" s="181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  <c r="AA240" s="160"/>
      <c r="AB240" s="160"/>
      <c r="AC240" s="160"/>
      <c r="AD240" s="160"/>
      <c r="AE240" s="160"/>
      <c r="AF240" s="160"/>
      <c r="AG240" s="160"/>
      <c r="AH240" s="160"/>
      <c r="AI240" s="160"/>
      <c r="AJ240" s="160"/>
      <c r="AK240" s="160"/>
      <c r="AL240" s="182"/>
      <c r="AM240" s="1"/>
      <c r="AN240" s="168"/>
      <c r="AO240" s="168"/>
      <c r="AP240" s="168"/>
      <c r="AQ240" s="168"/>
      <c r="AR240" s="168"/>
      <c r="AS240" s="168"/>
      <c r="AT240" s="168"/>
      <c r="AU240" s="168"/>
      <c r="AV240" s="168"/>
      <c r="AW240" s="168"/>
      <c r="AX240" s="168"/>
      <c r="AY240" s="168"/>
      <c r="AZ240" s="168">
        <f t="shared" si="42"/>
        <v>0</v>
      </c>
      <c r="BA240" s="141"/>
      <c r="IH240" s="142"/>
      <c r="II240" s="142"/>
      <c r="IJ240" s="142"/>
      <c r="IK240" s="142"/>
      <c r="IL240" s="142"/>
      <c r="IM240" s="142"/>
      <c r="IN240" s="142"/>
    </row>
    <row r="241" s="135" customFormat="1" ht="12.95" customHeight="1" spans="1:248">
      <c r="A241" s="154"/>
      <c r="B241" s="181"/>
      <c r="C241" s="181"/>
      <c r="D241" s="181"/>
      <c r="E241" s="181"/>
      <c r="F241" s="181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  <c r="AA241" s="160"/>
      <c r="AB241" s="160"/>
      <c r="AC241" s="160"/>
      <c r="AD241" s="160"/>
      <c r="AE241" s="160"/>
      <c r="AF241" s="160"/>
      <c r="AG241" s="160"/>
      <c r="AH241" s="160"/>
      <c r="AI241" s="160"/>
      <c r="AJ241" s="160"/>
      <c r="AK241" s="160"/>
      <c r="AL241" s="182"/>
      <c r="AM241" s="1"/>
      <c r="AN241" s="168"/>
      <c r="AO241" s="168"/>
      <c r="AP241" s="168"/>
      <c r="AQ241" s="168"/>
      <c r="AR241" s="168"/>
      <c r="AS241" s="168"/>
      <c r="AT241" s="168"/>
      <c r="AU241" s="168"/>
      <c r="AV241" s="168"/>
      <c r="AW241" s="168"/>
      <c r="AX241" s="168"/>
      <c r="AY241" s="168"/>
      <c r="AZ241" s="168">
        <f t="shared" si="42"/>
        <v>0</v>
      </c>
      <c r="BA241" s="141"/>
      <c r="IH241" s="142"/>
      <c r="II241" s="142"/>
      <c r="IJ241" s="142"/>
      <c r="IK241" s="142"/>
      <c r="IL241" s="142"/>
      <c r="IM241" s="142"/>
      <c r="IN241" s="142"/>
    </row>
    <row r="242" s="135" customFormat="1" ht="12.95" customHeight="1" spans="1:248">
      <c r="A242" s="154"/>
      <c r="B242" s="181"/>
      <c r="C242" s="181"/>
      <c r="D242" s="181"/>
      <c r="E242" s="181"/>
      <c r="F242" s="181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  <c r="AA242" s="160"/>
      <c r="AB242" s="160"/>
      <c r="AC242" s="160"/>
      <c r="AD242" s="160"/>
      <c r="AE242" s="160"/>
      <c r="AF242" s="160"/>
      <c r="AG242" s="160"/>
      <c r="AH242" s="160"/>
      <c r="AI242" s="160"/>
      <c r="AJ242" s="160"/>
      <c r="AK242" s="160"/>
      <c r="AL242" s="182"/>
      <c r="AM242" s="1"/>
      <c r="AN242" s="168"/>
      <c r="AO242" s="168"/>
      <c r="AP242" s="168"/>
      <c r="AQ242" s="168"/>
      <c r="AR242" s="168"/>
      <c r="AS242" s="168"/>
      <c r="AT242" s="168"/>
      <c r="AU242" s="168"/>
      <c r="AV242" s="168"/>
      <c r="AW242" s="168"/>
      <c r="AX242" s="168"/>
      <c r="AY242" s="168"/>
      <c r="AZ242" s="168">
        <f t="shared" si="42"/>
        <v>0</v>
      </c>
      <c r="BA242" s="141"/>
      <c r="IH242" s="142"/>
      <c r="II242" s="142"/>
      <c r="IJ242" s="142"/>
      <c r="IK242" s="142"/>
      <c r="IL242" s="142"/>
      <c r="IM242" s="142"/>
      <c r="IN242" s="142"/>
    </row>
    <row r="243" s="135" customFormat="1" ht="12.95" customHeight="1" spans="1:248">
      <c r="A243" s="154"/>
      <c r="B243" s="181"/>
      <c r="C243" s="181"/>
      <c r="D243" s="181"/>
      <c r="E243" s="181"/>
      <c r="F243" s="181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  <c r="AA243" s="160"/>
      <c r="AB243" s="160"/>
      <c r="AC243" s="160"/>
      <c r="AD243" s="160"/>
      <c r="AE243" s="160"/>
      <c r="AF243" s="160"/>
      <c r="AG243" s="160"/>
      <c r="AH243" s="160"/>
      <c r="AI243" s="160"/>
      <c r="AJ243" s="160"/>
      <c r="AK243" s="160"/>
      <c r="AL243" s="182"/>
      <c r="AM243" s="1"/>
      <c r="AN243" s="168"/>
      <c r="AO243" s="168"/>
      <c r="AP243" s="168"/>
      <c r="AQ243" s="168"/>
      <c r="AR243" s="168"/>
      <c r="AS243" s="168"/>
      <c r="AT243" s="168"/>
      <c r="AU243" s="168"/>
      <c r="AV243" s="168"/>
      <c r="AW243" s="168"/>
      <c r="AX243" s="168"/>
      <c r="AY243" s="168"/>
      <c r="AZ243" s="168">
        <f t="shared" si="42"/>
        <v>0</v>
      </c>
      <c r="BA243" s="141"/>
      <c r="IH243" s="142"/>
      <c r="II243" s="142"/>
      <c r="IJ243" s="142"/>
      <c r="IK243" s="142"/>
      <c r="IL243" s="142"/>
      <c r="IM243" s="142"/>
      <c r="IN243" s="142"/>
    </row>
    <row r="244" s="135" customFormat="1" ht="12.95" customHeight="1" spans="1:248">
      <c r="A244" s="154"/>
      <c r="B244" s="181"/>
      <c r="C244" s="181"/>
      <c r="D244" s="181"/>
      <c r="E244" s="181"/>
      <c r="F244" s="181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  <c r="AA244" s="160"/>
      <c r="AB244" s="160"/>
      <c r="AC244" s="160"/>
      <c r="AD244" s="160"/>
      <c r="AE244" s="160"/>
      <c r="AF244" s="160"/>
      <c r="AG244" s="160"/>
      <c r="AH244" s="160"/>
      <c r="AI244" s="160"/>
      <c r="AJ244" s="160"/>
      <c r="AK244" s="160"/>
      <c r="AL244" s="182"/>
      <c r="AM244" s="1"/>
      <c r="AN244" s="168"/>
      <c r="AO244" s="168"/>
      <c r="AP244" s="168"/>
      <c r="AQ244" s="168"/>
      <c r="AR244" s="168"/>
      <c r="AS244" s="168"/>
      <c r="AT244" s="168"/>
      <c r="AU244" s="168"/>
      <c r="AV244" s="168"/>
      <c r="AW244" s="168"/>
      <c r="AX244" s="168"/>
      <c r="AY244" s="168"/>
      <c r="AZ244" s="168">
        <f t="shared" si="42"/>
        <v>0</v>
      </c>
      <c r="BA244" s="141"/>
      <c r="IH244" s="142"/>
      <c r="II244" s="142"/>
      <c r="IJ244" s="142"/>
      <c r="IK244" s="142"/>
      <c r="IL244" s="142"/>
      <c r="IM244" s="142"/>
      <c r="IN244" s="142"/>
    </row>
    <row r="245" s="135" customFormat="1" ht="12.95" customHeight="1" spans="1:248">
      <c r="A245" s="154"/>
      <c r="B245" s="181"/>
      <c r="C245" s="181"/>
      <c r="D245" s="181"/>
      <c r="E245" s="181"/>
      <c r="F245" s="181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  <c r="AA245" s="160"/>
      <c r="AB245" s="160"/>
      <c r="AC245" s="160"/>
      <c r="AD245" s="160"/>
      <c r="AE245" s="160"/>
      <c r="AF245" s="160"/>
      <c r="AG245" s="160"/>
      <c r="AH245" s="160"/>
      <c r="AI245" s="160"/>
      <c r="AJ245" s="160"/>
      <c r="AK245" s="160"/>
      <c r="AL245" s="182"/>
      <c r="AM245" s="1"/>
      <c r="AN245" s="168"/>
      <c r="AO245" s="168"/>
      <c r="AP245" s="168"/>
      <c r="AQ245" s="168"/>
      <c r="AR245" s="168"/>
      <c r="AS245" s="168"/>
      <c r="AT245" s="168"/>
      <c r="AU245" s="168"/>
      <c r="AV245" s="168"/>
      <c r="AW245" s="168"/>
      <c r="AX245" s="168"/>
      <c r="AY245" s="168"/>
      <c r="AZ245" s="168">
        <f t="shared" si="42"/>
        <v>0</v>
      </c>
      <c r="BA245" s="141"/>
      <c r="IH245" s="142"/>
      <c r="II245" s="142"/>
      <c r="IJ245" s="142"/>
      <c r="IK245" s="142"/>
      <c r="IL245" s="142"/>
      <c r="IM245" s="142"/>
      <c r="IN245" s="142"/>
    </row>
    <row r="246" s="135" customFormat="1" ht="12.95" customHeight="1" spans="1:248">
      <c r="A246" s="154"/>
      <c r="B246" s="181"/>
      <c r="C246" s="181"/>
      <c r="D246" s="181"/>
      <c r="E246" s="181"/>
      <c r="F246" s="181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  <c r="AA246" s="160"/>
      <c r="AB246" s="160"/>
      <c r="AC246" s="160"/>
      <c r="AD246" s="160"/>
      <c r="AE246" s="160"/>
      <c r="AF246" s="160"/>
      <c r="AG246" s="160"/>
      <c r="AH246" s="160"/>
      <c r="AI246" s="160"/>
      <c r="AJ246" s="160"/>
      <c r="AK246" s="160"/>
      <c r="AL246" s="182"/>
      <c r="AM246" s="1"/>
      <c r="AN246" s="168"/>
      <c r="AO246" s="168"/>
      <c r="AP246" s="168"/>
      <c r="AQ246" s="168"/>
      <c r="AR246" s="168"/>
      <c r="AS246" s="168"/>
      <c r="AT246" s="168"/>
      <c r="AU246" s="168"/>
      <c r="AV246" s="168"/>
      <c r="AW246" s="168"/>
      <c r="AX246" s="168"/>
      <c r="AY246" s="168"/>
      <c r="AZ246" s="168">
        <f t="shared" si="42"/>
        <v>0</v>
      </c>
      <c r="BA246" s="141"/>
      <c r="IH246" s="142"/>
      <c r="II246" s="142"/>
      <c r="IJ246" s="142"/>
      <c r="IK246" s="142"/>
      <c r="IL246" s="142"/>
      <c r="IM246" s="142"/>
      <c r="IN246" s="142"/>
    </row>
    <row r="247" s="135" customFormat="1" ht="12.95" customHeight="1" spans="1:248">
      <c r="A247" s="154"/>
      <c r="B247" s="181"/>
      <c r="C247" s="181"/>
      <c r="D247" s="181"/>
      <c r="E247" s="181"/>
      <c r="F247" s="181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  <c r="AA247" s="160"/>
      <c r="AB247" s="160"/>
      <c r="AC247" s="160"/>
      <c r="AD247" s="160"/>
      <c r="AE247" s="160"/>
      <c r="AF247" s="160"/>
      <c r="AG247" s="160"/>
      <c r="AH247" s="160"/>
      <c r="AI247" s="160"/>
      <c r="AJ247" s="160"/>
      <c r="AK247" s="160"/>
      <c r="AL247" s="182"/>
      <c r="AM247" s="1"/>
      <c r="AN247" s="168"/>
      <c r="AO247" s="168"/>
      <c r="AP247" s="168"/>
      <c r="AQ247" s="168"/>
      <c r="AR247" s="168"/>
      <c r="AS247" s="168"/>
      <c r="AT247" s="168"/>
      <c r="AU247" s="168"/>
      <c r="AV247" s="168"/>
      <c r="AW247" s="168"/>
      <c r="AX247" s="168"/>
      <c r="AY247" s="168"/>
      <c r="AZ247" s="168">
        <f t="shared" si="42"/>
        <v>0</v>
      </c>
      <c r="BA247" s="141"/>
      <c r="IH247" s="142"/>
      <c r="II247" s="142"/>
      <c r="IJ247" s="142"/>
      <c r="IK247" s="142"/>
      <c r="IL247" s="142"/>
      <c r="IM247" s="142"/>
      <c r="IN247" s="142"/>
    </row>
    <row r="248" s="135" customFormat="1" ht="12.95" customHeight="1" spans="1:248">
      <c r="A248" s="154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60"/>
      <c r="AG248" s="160"/>
      <c r="AH248" s="160"/>
      <c r="AI248" s="160"/>
      <c r="AJ248" s="160"/>
      <c r="AK248" s="160"/>
      <c r="AL248" s="182"/>
      <c r="AM248" s="1"/>
      <c r="AN248" s="168"/>
      <c r="AO248" s="168"/>
      <c r="AP248" s="168"/>
      <c r="AQ248" s="168"/>
      <c r="AR248" s="168"/>
      <c r="AS248" s="168"/>
      <c r="AT248" s="168"/>
      <c r="AU248" s="168"/>
      <c r="AV248" s="168"/>
      <c r="AW248" s="168"/>
      <c r="AX248" s="168"/>
      <c r="AY248" s="168"/>
      <c r="AZ248" s="168">
        <f t="shared" si="42"/>
        <v>0</v>
      </c>
      <c r="BA248" s="141"/>
      <c r="IH248" s="142"/>
      <c r="II248" s="142"/>
      <c r="IJ248" s="142"/>
      <c r="IK248" s="142"/>
      <c r="IL248" s="142"/>
      <c r="IM248" s="142"/>
      <c r="IN248" s="142"/>
    </row>
    <row r="249" s="135" customFormat="1" ht="12.95" customHeight="1" spans="1:248">
      <c r="A249" s="154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60"/>
      <c r="AG249" s="160"/>
      <c r="AH249" s="160"/>
      <c r="AI249" s="160"/>
      <c r="AJ249" s="160"/>
      <c r="AK249" s="160"/>
      <c r="AL249" s="182"/>
      <c r="AM249" s="1"/>
      <c r="AN249" s="168"/>
      <c r="AO249" s="168"/>
      <c r="AP249" s="168"/>
      <c r="AQ249" s="168"/>
      <c r="AR249" s="168"/>
      <c r="AS249" s="168"/>
      <c r="AT249" s="168"/>
      <c r="AU249" s="168"/>
      <c r="AV249" s="168"/>
      <c r="AW249" s="168"/>
      <c r="AX249" s="168"/>
      <c r="AY249" s="168"/>
      <c r="AZ249" s="168">
        <f t="shared" si="42"/>
        <v>0</v>
      </c>
      <c r="BA249" s="141"/>
      <c r="IH249" s="142"/>
      <c r="II249" s="142"/>
      <c r="IJ249" s="142"/>
      <c r="IK249" s="142"/>
      <c r="IL249" s="142"/>
      <c r="IM249" s="142"/>
      <c r="IN249" s="142"/>
    </row>
    <row r="250" s="135" customFormat="1" ht="12.95" customHeight="1" spans="1:248">
      <c r="A250" s="154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60"/>
      <c r="AG250" s="160"/>
      <c r="AH250" s="160"/>
      <c r="AI250" s="160"/>
      <c r="AJ250" s="160"/>
      <c r="AK250" s="160"/>
      <c r="AL250" s="182"/>
      <c r="AM250" s="1"/>
      <c r="AN250" s="168"/>
      <c r="AO250" s="168"/>
      <c r="AP250" s="168"/>
      <c r="AQ250" s="168"/>
      <c r="AR250" s="168"/>
      <c r="AS250" s="168"/>
      <c r="AT250" s="168"/>
      <c r="AU250" s="168"/>
      <c r="AV250" s="168"/>
      <c r="AW250" s="168"/>
      <c r="AX250" s="168"/>
      <c r="AY250" s="168"/>
      <c r="AZ250" s="168">
        <f t="shared" si="42"/>
        <v>0</v>
      </c>
      <c r="BA250" s="141"/>
      <c r="IH250" s="142"/>
      <c r="II250" s="142"/>
      <c r="IJ250" s="142"/>
      <c r="IK250" s="142"/>
      <c r="IL250" s="142"/>
      <c r="IM250" s="142"/>
      <c r="IN250" s="142"/>
    </row>
    <row r="251" s="135" customFormat="1" ht="12.95" customHeight="1" spans="1:248">
      <c r="A251" s="154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  <c r="AC251" s="181"/>
      <c r="AD251" s="181"/>
      <c r="AE251" s="181"/>
      <c r="AF251" s="160"/>
      <c r="AG251" s="160"/>
      <c r="AH251" s="160"/>
      <c r="AI251" s="160"/>
      <c r="AJ251" s="160"/>
      <c r="AK251" s="160"/>
      <c r="AL251" s="182"/>
      <c r="AM251" s="1"/>
      <c r="AN251" s="168"/>
      <c r="AO251" s="168"/>
      <c r="AP251" s="168"/>
      <c r="AQ251" s="168"/>
      <c r="AR251" s="168"/>
      <c r="AS251" s="168"/>
      <c r="AT251" s="168"/>
      <c r="AU251" s="168"/>
      <c r="AV251" s="168"/>
      <c r="AW251" s="168"/>
      <c r="AX251" s="168"/>
      <c r="AY251" s="168"/>
      <c r="AZ251" s="168">
        <f t="shared" si="42"/>
        <v>0</v>
      </c>
      <c r="BA251" s="141"/>
      <c r="IH251" s="142"/>
      <c r="II251" s="142"/>
      <c r="IJ251" s="142"/>
      <c r="IK251" s="142"/>
      <c r="IL251" s="142"/>
      <c r="IM251" s="142"/>
      <c r="IN251" s="142"/>
    </row>
    <row r="252" s="135" customFormat="1" ht="12.95" customHeight="1" spans="1:248">
      <c r="A252" s="154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  <c r="AC252" s="181"/>
      <c r="AD252" s="181"/>
      <c r="AE252" s="181"/>
      <c r="AF252" s="160"/>
      <c r="AG252" s="160"/>
      <c r="AH252" s="160"/>
      <c r="AI252" s="160"/>
      <c r="AJ252" s="160"/>
      <c r="AK252" s="160"/>
      <c r="AL252" s="182"/>
      <c r="AM252" s="1"/>
      <c r="AN252" s="168"/>
      <c r="AO252" s="168"/>
      <c r="AP252" s="168"/>
      <c r="AQ252" s="168"/>
      <c r="AR252" s="168"/>
      <c r="AS252" s="168"/>
      <c r="AT252" s="168"/>
      <c r="AU252" s="168"/>
      <c r="AV252" s="168"/>
      <c r="AW252" s="168"/>
      <c r="AX252" s="168"/>
      <c r="AY252" s="168"/>
      <c r="AZ252" s="168">
        <f t="shared" si="42"/>
        <v>0</v>
      </c>
      <c r="BA252" s="141"/>
      <c r="IH252" s="142"/>
      <c r="II252" s="142"/>
      <c r="IJ252" s="142"/>
      <c r="IK252" s="142"/>
      <c r="IL252" s="142"/>
      <c r="IM252" s="142"/>
      <c r="IN252" s="142"/>
    </row>
    <row r="253" s="135" customFormat="1" ht="12.95" customHeight="1" spans="1:248">
      <c r="A253" s="154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  <c r="AC253" s="181"/>
      <c r="AD253" s="181"/>
      <c r="AE253" s="181"/>
      <c r="AF253" s="160"/>
      <c r="AG253" s="160"/>
      <c r="AH253" s="160"/>
      <c r="AI253" s="160"/>
      <c r="AJ253" s="160"/>
      <c r="AK253" s="160"/>
      <c r="AL253" s="182"/>
      <c r="AM253" s="1"/>
      <c r="AN253" s="168"/>
      <c r="AO253" s="168"/>
      <c r="AP253" s="168"/>
      <c r="AQ253" s="168"/>
      <c r="AR253" s="168"/>
      <c r="AS253" s="168"/>
      <c r="AT253" s="168"/>
      <c r="AU253" s="168"/>
      <c r="AV253" s="168"/>
      <c r="AW253" s="168"/>
      <c r="AX253" s="168"/>
      <c r="AY253" s="168"/>
      <c r="AZ253" s="168">
        <f t="shared" si="42"/>
        <v>0</v>
      </c>
      <c r="BA253" s="141"/>
      <c r="IH253" s="142"/>
      <c r="II253" s="142"/>
      <c r="IJ253" s="142"/>
      <c r="IK253" s="142"/>
      <c r="IL253" s="142"/>
      <c r="IM253" s="142"/>
      <c r="IN253" s="142"/>
    </row>
    <row r="254" s="135" customFormat="1" ht="12.95" customHeight="1" spans="1:248">
      <c r="A254" s="154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  <c r="AC254" s="181"/>
      <c r="AD254" s="181"/>
      <c r="AE254" s="181"/>
      <c r="AF254" s="160"/>
      <c r="AG254" s="160"/>
      <c r="AH254" s="160"/>
      <c r="AI254" s="160"/>
      <c r="AJ254" s="160"/>
      <c r="AK254" s="160"/>
      <c r="AL254" s="182"/>
      <c r="AM254" s="1"/>
      <c r="AN254" s="168"/>
      <c r="AO254" s="168"/>
      <c r="AP254" s="168"/>
      <c r="AQ254" s="168"/>
      <c r="AR254" s="168"/>
      <c r="AS254" s="168"/>
      <c r="AT254" s="168"/>
      <c r="AU254" s="168"/>
      <c r="AV254" s="168"/>
      <c r="AW254" s="168"/>
      <c r="AX254" s="168"/>
      <c r="AY254" s="168"/>
      <c r="AZ254" s="168">
        <f t="shared" si="42"/>
        <v>0</v>
      </c>
      <c r="BA254" s="141"/>
      <c r="IH254" s="142"/>
      <c r="II254" s="142"/>
      <c r="IJ254" s="142"/>
      <c r="IK254" s="142"/>
      <c r="IL254" s="142"/>
      <c r="IM254" s="142"/>
      <c r="IN254" s="142"/>
    </row>
    <row r="255" s="135" customFormat="1" ht="12.95" customHeight="1" spans="1:248">
      <c r="A255" s="154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  <c r="AC255" s="181"/>
      <c r="AD255" s="181"/>
      <c r="AE255" s="181"/>
      <c r="AF255" s="160"/>
      <c r="AG255" s="160"/>
      <c r="AH255" s="160"/>
      <c r="AI255" s="160"/>
      <c r="AJ255" s="160"/>
      <c r="AK255" s="160"/>
      <c r="AL255" s="182"/>
      <c r="AM255" s="1"/>
      <c r="AN255" s="168"/>
      <c r="AO255" s="168"/>
      <c r="AP255" s="168"/>
      <c r="AQ255" s="168"/>
      <c r="AR255" s="168"/>
      <c r="AS255" s="168"/>
      <c r="AT255" s="168"/>
      <c r="AU255" s="168"/>
      <c r="AV255" s="168"/>
      <c r="AW255" s="168"/>
      <c r="AX255" s="168"/>
      <c r="AY255" s="168"/>
      <c r="AZ255" s="168">
        <f t="shared" si="42"/>
        <v>0</v>
      </c>
      <c r="BA255" s="141"/>
      <c r="IH255" s="142"/>
      <c r="II255" s="142"/>
      <c r="IJ255" s="142"/>
      <c r="IK255" s="142"/>
      <c r="IL255" s="142"/>
      <c r="IM255" s="142"/>
      <c r="IN255" s="142"/>
    </row>
    <row r="256" s="135" customFormat="1" ht="12.95" customHeight="1" spans="1:248">
      <c r="A256" s="154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  <c r="AC256" s="181"/>
      <c r="AD256" s="181"/>
      <c r="AE256" s="181"/>
      <c r="AF256" s="160"/>
      <c r="AG256" s="160"/>
      <c r="AH256" s="160"/>
      <c r="AI256" s="160"/>
      <c r="AJ256" s="160"/>
      <c r="AK256" s="160"/>
      <c r="AL256" s="182"/>
      <c r="AM256" s="1"/>
      <c r="AN256" s="168"/>
      <c r="AO256" s="168"/>
      <c r="AP256" s="168"/>
      <c r="AQ256" s="168"/>
      <c r="AR256" s="168"/>
      <c r="AS256" s="168"/>
      <c r="AT256" s="168"/>
      <c r="AU256" s="168"/>
      <c r="AV256" s="168"/>
      <c r="AW256" s="168"/>
      <c r="AX256" s="168"/>
      <c r="AY256" s="168"/>
      <c r="AZ256" s="168">
        <f t="shared" si="42"/>
        <v>0</v>
      </c>
      <c r="BA256" s="141"/>
      <c r="IH256" s="142"/>
      <c r="II256" s="142"/>
      <c r="IJ256" s="142"/>
      <c r="IK256" s="142"/>
      <c r="IL256" s="142"/>
      <c r="IM256" s="142"/>
      <c r="IN256" s="142"/>
    </row>
    <row r="257" s="135" customFormat="1" ht="12.95" customHeight="1" spans="1:248">
      <c r="A257" s="154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  <c r="AC257" s="181"/>
      <c r="AD257" s="181"/>
      <c r="AE257" s="181"/>
      <c r="AF257" s="160"/>
      <c r="AG257" s="160"/>
      <c r="AH257" s="160"/>
      <c r="AI257" s="160"/>
      <c r="AJ257" s="160"/>
      <c r="AK257" s="160"/>
      <c r="AL257" s="182"/>
      <c r="AM257" s="1"/>
      <c r="AN257" s="168"/>
      <c r="AO257" s="168"/>
      <c r="AP257" s="168"/>
      <c r="AQ257" s="168"/>
      <c r="AR257" s="168"/>
      <c r="AS257" s="168"/>
      <c r="AT257" s="168"/>
      <c r="AU257" s="168"/>
      <c r="AV257" s="168"/>
      <c r="AW257" s="168"/>
      <c r="AX257" s="168"/>
      <c r="AY257" s="168"/>
      <c r="AZ257" s="168">
        <f t="shared" si="42"/>
        <v>0</v>
      </c>
      <c r="BA257" s="141"/>
      <c r="IH257" s="142"/>
      <c r="II257" s="142"/>
      <c r="IJ257" s="142"/>
      <c r="IK257" s="142"/>
      <c r="IL257" s="142"/>
      <c r="IM257" s="142"/>
      <c r="IN257" s="142"/>
    </row>
    <row r="258" s="135" customFormat="1" ht="12.95" customHeight="1" spans="1:248">
      <c r="A258" s="154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60"/>
      <c r="AG258" s="160"/>
      <c r="AH258" s="160"/>
      <c r="AI258" s="160"/>
      <c r="AJ258" s="160"/>
      <c r="AK258" s="160"/>
      <c r="AL258" s="182"/>
      <c r="AM258" s="1"/>
      <c r="AN258" s="168"/>
      <c r="AO258" s="168"/>
      <c r="AP258" s="168"/>
      <c r="AQ258" s="168"/>
      <c r="AR258" s="168"/>
      <c r="AS258" s="168"/>
      <c r="AT258" s="168"/>
      <c r="AU258" s="168"/>
      <c r="AV258" s="168"/>
      <c r="AW258" s="168"/>
      <c r="AX258" s="168"/>
      <c r="AY258" s="168"/>
      <c r="AZ258" s="168">
        <f t="shared" ref="AZ258:AZ321" si="43">AN258+AO258+AP258+AQ258+AR258+AS258+AT258+AU258+AV258+AW258+AX258+AY258</f>
        <v>0</v>
      </c>
      <c r="BA258" s="141"/>
      <c r="IH258" s="142"/>
      <c r="II258" s="142"/>
      <c r="IJ258" s="142"/>
      <c r="IK258" s="142"/>
      <c r="IL258" s="142"/>
      <c r="IM258" s="142"/>
      <c r="IN258" s="142"/>
    </row>
    <row r="259" s="135" customFormat="1" ht="12.95" customHeight="1" spans="1:248">
      <c r="A259" s="154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60"/>
      <c r="AG259" s="160"/>
      <c r="AH259" s="160"/>
      <c r="AI259" s="160"/>
      <c r="AJ259" s="160"/>
      <c r="AK259" s="160"/>
      <c r="AL259" s="182"/>
      <c r="AM259" s="1"/>
      <c r="AN259" s="168"/>
      <c r="AO259" s="168"/>
      <c r="AP259" s="168"/>
      <c r="AQ259" s="168"/>
      <c r="AR259" s="168"/>
      <c r="AS259" s="168"/>
      <c r="AT259" s="168"/>
      <c r="AU259" s="168"/>
      <c r="AV259" s="168"/>
      <c r="AW259" s="168"/>
      <c r="AX259" s="168"/>
      <c r="AY259" s="168"/>
      <c r="AZ259" s="168">
        <f t="shared" si="43"/>
        <v>0</v>
      </c>
      <c r="BA259" s="141"/>
      <c r="IH259" s="142"/>
      <c r="II259" s="142"/>
      <c r="IJ259" s="142"/>
      <c r="IK259" s="142"/>
      <c r="IL259" s="142"/>
      <c r="IM259" s="142"/>
      <c r="IN259" s="142"/>
    </row>
    <row r="260" s="135" customFormat="1" ht="12.95" customHeight="1" spans="1:248">
      <c r="A260" s="154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60"/>
      <c r="AG260" s="160"/>
      <c r="AH260" s="160"/>
      <c r="AI260" s="160"/>
      <c r="AJ260" s="160"/>
      <c r="AK260" s="160"/>
      <c r="AL260" s="182"/>
      <c r="AM260" s="1"/>
      <c r="AN260" s="168"/>
      <c r="AO260" s="168"/>
      <c r="AP260" s="168"/>
      <c r="AQ260" s="168"/>
      <c r="AR260" s="168"/>
      <c r="AS260" s="168"/>
      <c r="AT260" s="168"/>
      <c r="AU260" s="168"/>
      <c r="AV260" s="168"/>
      <c r="AW260" s="168"/>
      <c r="AX260" s="168"/>
      <c r="AY260" s="168"/>
      <c r="AZ260" s="168">
        <f t="shared" si="43"/>
        <v>0</v>
      </c>
      <c r="BA260" s="141"/>
      <c r="IH260" s="142"/>
      <c r="II260" s="142"/>
      <c r="IJ260" s="142"/>
      <c r="IK260" s="142"/>
      <c r="IL260" s="142"/>
      <c r="IM260" s="142"/>
      <c r="IN260" s="142"/>
    </row>
    <row r="261" s="135" customFormat="1" ht="12.95" customHeight="1" spans="1:248">
      <c r="A261" s="154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60"/>
      <c r="AG261" s="160"/>
      <c r="AH261" s="160"/>
      <c r="AI261" s="160"/>
      <c r="AJ261" s="160"/>
      <c r="AK261" s="160"/>
      <c r="AL261" s="182"/>
      <c r="AM261" s="1"/>
      <c r="AN261" s="168"/>
      <c r="AO261" s="168"/>
      <c r="AP261" s="168"/>
      <c r="AQ261" s="168"/>
      <c r="AR261" s="168"/>
      <c r="AS261" s="168"/>
      <c r="AT261" s="168"/>
      <c r="AU261" s="168"/>
      <c r="AV261" s="168"/>
      <c r="AW261" s="168"/>
      <c r="AX261" s="168"/>
      <c r="AY261" s="168"/>
      <c r="AZ261" s="168">
        <f t="shared" si="43"/>
        <v>0</v>
      </c>
      <c r="BA261" s="141"/>
      <c r="IH261" s="142"/>
      <c r="II261" s="142"/>
      <c r="IJ261" s="142"/>
      <c r="IK261" s="142"/>
      <c r="IL261" s="142"/>
      <c r="IM261" s="142"/>
      <c r="IN261" s="142"/>
    </row>
    <row r="262" s="135" customFormat="1" ht="12.95" customHeight="1" spans="1:248">
      <c r="A262" s="154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60"/>
      <c r="AG262" s="160"/>
      <c r="AH262" s="160"/>
      <c r="AI262" s="160"/>
      <c r="AJ262" s="160"/>
      <c r="AK262" s="160"/>
      <c r="AL262" s="182"/>
      <c r="AM262" s="1"/>
      <c r="AN262" s="168"/>
      <c r="AO262" s="168"/>
      <c r="AP262" s="168"/>
      <c r="AQ262" s="168"/>
      <c r="AR262" s="168"/>
      <c r="AS262" s="168"/>
      <c r="AT262" s="168"/>
      <c r="AU262" s="168"/>
      <c r="AV262" s="168"/>
      <c r="AW262" s="168"/>
      <c r="AX262" s="168"/>
      <c r="AY262" s="168"/>
      <c r="AZ262" s="168">
        <f t="shared" si="43"/>
        <v>0</v>
      </c>
      <c r="BA262" s="141"/>
      <c r="IH262" s="142"/>
      <c r="II262" s="142"/>
      <c r="IJ262" s="142"/>
      <c r="IK262" s="142"/>
      <c r="IL262" s="142"/>
      <c r="IM262" s="142"/>
      <c r="IN262" s="142"/>
    </row>
    <row r="263" s="135" customFormat="1" ht="12.95" customHeight="1" spans="1:248">
      <c r="A263" s="154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60"/>
      <c r="AG263" s="160"/>
      <c r="AH263" s="160"/>
      <c r="AI263" s="160"/>
      <c r="AJ263" s="160"/>
      <c r="AK263" s="160"/>
      <c r="AL263" s="182"/>
      <c r="AM263" s="1"/>
      <c r="AN263" s="168"/>
      <c r="AO263" s="168"/>
      <c r="AP263" s="168"/>
      <c r="AQ263" s="168"/>
      <c r="AR263" s="168"/>
      <c r="AS263" s="168"/>
      <c r="AT263" s="168"/>
      <c r="AU263" s="168"/>
      <c r="AV263" s="168"/>
      <c r="AW263" s="168"/>
      <c r="AX263" s="168"/>
      <c r="AY263" s="168"/>
      <c r="AZ263" s="168">
        <f t="shared" si="43"/>
        <v>0</v>
      </c>
      <c r="BA263" s="141"/>
      <c r="IH263" s="142"/>
      <c r="II263" s="142"/>
      <c r="IJ263" s="142"/>
      <c r="IK263" s="142"/>
      <c r="IL263" s="142"/>
      <c r="IM263" s="142"/>
      <c r="IN263" s="142"/>
    </row>
    <row r="264" s="135" customFormat="1" ht="12.95" customHeight="1" spans="1:248">
      <c r="A264" s="154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60"/>
      <c r="AG264" s="160"/>
      <c r="AH264" s="160"/>
      <c r="AI264" s="160"/>
      <c r="AJ264" s="160"/>
      <c r="AK264" s="160"/>
      <c r="AL264" s="182"/>
      <c r="AM264" s="1"/>
      <c r="AN264" s="168"/>
      <c r="AO264" s="168"/>
      <c r="AP264" s="168"/>
      <c r="AQ264" s="168"/>
      <c r="AR264" s="168"/>
      <c r="AS264" s="168"/>
      <c r="AT264" s="168"/>
      <c r="AU264" s="168"/>
      <c r="AV264" s="168"/>
      <c r="AW264" s="168"/>
      <c r="AX264" s="168"/>
      <c r="AY264" s="168"/>
      <c r="AZ264" s="168">
        <f t="shared" si="43"/>
        <v>0</v>
      </c>
      <c r="BA264" s="141"/>
      <c r="IH264" s="142"/>
      <c r="II264" s="142"/>
      <c r="IJ264" s="142"/>
      <c r="IK264" s="142"/>
      <c r="IL264" s="142"/>
      <c r="IM264" s="142"/>
      <c r="IN264" s="142"/>
    </row>
    <row r="265" s="135" customFormat="1" ht="12.95" customHeight="1" spans="1:248">
      <c r="A265" s="154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60"/>
      <c r="AG265" s="160"/>
      <c r="AH265" s="160"/>
      <c r="AI265" s="160"/>
      <c r="AJ265" s="160"/>
      <c r="AK265" s="160"/>
      <c r="AL265" s="182"/>
      <c r="AM265" s="1"/>
      <c r="AN265" s="168"/>
      <c r="AO265" s="168"/>
      <c r="AP265" s="168"/>
      <c r="AQ265" s="168"/>
      <c r="AR265" s="168"/>
      <c r="AS265" s="168"/>
      <c r="AT265" s="168"/>
      <c r="AU265" s="168"/>
      <c r="AV265" s="168"/>
      <c r="AW265" s="168"/>
      <c r="AX265" s="168"/>
      <c r="AY265" s="168"/>
      <c r="AZ265" s="168">
        <f t="shared" si="43"/>
        <v>0</v>
      </c>
      <c r="BA265" s="141"/>
      <c r="IH265" s="142"/>
      <c r="II265" s="142"/>
      <c r="IJ265" s="142"/>
      <c r="IK265" s="142"/>
      <c r="IL265" s="142"/>
      <c r="IM265" s="142"/>
      <c r="IN265" s="142"/>
    </row>
    <row r="266" s="135" customFormat="1" ht="12.95" customHeight="1" spans="1:248">
      <c r="A266" s="154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60"/>
      <c r="AG266" s="160"/>
      <c r="AH266" s="160"/>
      <c r="AI266" s="160"/>
      <c r="AJ266" s="160"/>
      <c r="AK266" s="160"/>
      <c r="AL266" s="182"/>
      <c r="AM266" s="1"/>
      <c r="AN266" s="168"/>
      <c r="AO266" s="168"/>
      <c r="AP266" s="168"/>
      <c r="AQ266" s="168"/>
      <c r="AR266" s="168"/>
      <c r="AS266" s="168"/>
      <c r="AT266" s="168"/>
      <c r="AU266" s="168"/>
      <c r="AV266" s="168"/>
      <c r="AW266" s="168"/>
      <c r="AX266" s="168"/>
      <c r="AY266" s="168"/>
      <c r="AZ266" s="168">
        <f t="shared" si="43"/>
        <v>0</v>
      </c>
      <c r="BA266" s="141"/>
      <c r="IH266" s="142"/>
      <c r="II266" s="142"/>
      <c r="IJ266" s="142"/>
      <c r="IK266" s="142"/>
      <c r="IL266" s="142"/>
      <c r="IM266" s="142"/>
      <c r="IN266" s="142"/>
    </row>
    <row r="267" s="135" customFormat="1" ht="12.95" customHeight="1" spans="1:248">
      <c r="A267" s="154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60"/>
      <c r="AG267" s="160"/>
      <c r="AH267" s="160"/>
      <c r="AI267" s="160"/>
      <c r="AJ267" s="160"/>
      <c r="AK267" s="160"/>
      <c r="AL267" s="182"/>
      <c r="AM267" s="1"/>
      <c r="AN267" s="168"/>
      <c r="AO267" s="168"/>
      <c r="AP267" s="168"/>
      <c r="AQ267" s="168"/>
      <c r="AR267" s="168"/>
      <c r="AS267" s="168"/>
      <c r="AT267" s="168"/>
      <c r="AU267" s="168"/>
      <c r="AV267" s="168"/>
      <c r="AW267" s="168"/>
      <c r="AX267" s="168"/>
      <c r="AY267" s="168"/>
      <c r="AZ267" s="168">
        <f t="shared" si="43"/>
        <v>0</v>
      </c>
      <c r="BA267" s="141"/>
      <c r="IH267" s="142"/>
      <c r="II267" s="142"/>
      <c r="IJ267" s="142"/>
      <c r="IK267" s="142"/>
      <c r="IL267" s="142"/>
      <c r="IM267" s="142"/>
      <c r="IN267" s="142"/>
    </row>
    <row r="268" s="135" customFormat="1" ht="12.95" customHeight="1" spans="1:248">
      <c r="A268" s="154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60"/>
      <c r="AG268" s="160"/>
      <c r="AH268" s="160"/>
      <c r="AI268" s="160"/>
      <c r="AJ268" s="160"/>
      <c r="AK268" s="160"/>
      <c r="AL268" s="182"/>
      <c r="AM268" s="1"/>
      <c r="AN268" s="168"/>
      <c r="AO268" s="168"/>
      <c r="AP268" s="168"/>
      <c r="AQ268" s="168"/>
      <c r="AR268" s="168"/>
      <c r="AS268" s="168"/>
      <c r="AT268" s="168"/>
      <c r="AU268" s="168"/>
      <c r="AV268" s="168"/>
      <c r="AW268" s="168"/>
      <c r="AX268" s="168"/>
      <c r="AY268" s="168"/>
      <c r="AZ268" s="168">
        <f t="shared" si="43"/>
        <v>0</v>
      </c>
      <c r="BA268" s="141"/>
      <c r="IH268" s="142"/>
      <c r="II268" s="142"/>
      <c r="IJ268" s="142"/>
      <c r="IK268" s="142"/>
      <c r="IL268" s="142"/>
      <c r="IM268" s="142"/>
      <c r="IN268" s="142"/>
    </row>
    <row r="269" ht="12.95" customHeight="1" spans="1:241">
      <c r="A269" s="154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60"/>
      <c r="AG269" s="160"/>
      <c r="AH269" s="160"/>
      <c r="AI269" s="160"/>
      <c r="AJ269" s="160"/>
      <c r="AK269" s="160"/>
      <c r="AL269" s="182"/>
      <c r="AM269" s="1"/>
      <c r="AN269" s="168"/>
      <c r="AO269" s="168"/>
      <c r="AP269" s="168"/>
      <c r="AQ269" s="168"/>
      <c r="AR269" s="168"/>
      <c r="AS269" s="168"/>
      <c r="AT269" s="168"/>
      <c r="AU269" s="168"/>
      <c r="AV269" s="168"/>
      <c r="AW269" s="168"/>
      <c r="AX269" s="168"/>
      <c r="AY269" s="168"/>
      <c r="AZ269" s="168">
        <f t="shared" si="43"/>
        <v>0</v>
      </c>
      <c r="BA269" s="183"/>
      <c r="BB269" s="142"/>
      <c r="BC269" s="142"/>
      <c r="BD269" s="142"/>
      <c r="BF269" s="142"/>
      <c r="BG269" s="142"/>
      <c r="BH269" s="142"/>
      <c r="BI269" s="142"/>
      <c r="BJ269" s="142"/>
      <c r="BK269" s="142"/>
      <c r="BL269" s="142"/>
      <c r="BM269" s="142"/>
      <c r="BN269" s="142"/>
      <c r="BO269" s="142"/>
      <c r="BP269" s="142"/>
      <c r="BQ269" s="142"/>
      <c r="BR269" s="142"/>
      <c r="BS269" s="142"/>
      <c r="BT269" s="142"/>
      <c r="BU269" s="142"/>
      <c r="BV269" s="142"/>
      <c r="BW269" s="142"/>
      <c r="BX269" s="142"/>
      <c r="BY269" s="142"/>
      <c r="BZ269" s="142"/>
      <c r="CA269" s="142"/>
      <c r="CB269" s="142"/>
      <c r="CC269" s="142"/>
      <c r="CD269" s="142"/>
      <c r="CE269" s="142"/>
      <c r="CF269" s="142"/>
      <c r="CG269" s="142"/>
      <c r="CH269" s="142"/>
      <c r="CI269" s="142"/>
      <c r="CJ269" s="142"/>
      <c r="CK269" s="142"/>
      <c r="CL269" s="142"/>
      <c r="CM269" s="142"/>
      <c r="CN269" s="142"/>
      <c r="CO269" s="142"/>
      <c r="CP269" s="142"/>
      <c r="CQ269" s="142"/>
      <c r="CR269" s="142"/>
      <c r="CS269" s="142"/>
      <c r="CT269" s="142"/>
      <c r="CU269" s="142"/>
      <c r="CV269" s="142"/>
      <c r="CW269" s="142"/>
      <c r="CX269" s="142"/>
      <c r="CY269" s="142"/>
      <c r="CZ269" s="142"/>
      <c r="DA269" s="142"/>
      <c r="DB269" s="142"/>
      <c r="DC269" s="142"/>
      <c r="DD269" s="142"/>
      <c r="DE269" s="142"/>
      <c r="DF269" s="142"/>
      <c r="DG269" s="142"/>
      <c r="DH269" s="142"/>
      <c r="DI269" s="142"/>
      <c r="DJ269" s="142"/>
      <c r="DK269" s="142"/>
      <c r="DL269" s="142"/>
      <c r="DM269" s="142"/>
      <c r="DN269" s="142"/>
      <c r="DO269" s="142"/>
      <c r="DP269" s="142"/>
      <c r="DQ269" s="142"/>
      <c r="DR269" s="142"/>
      <c r="DS269" s="142"/>
      <c r="DT269" s="142"/>
      <c r="DU269" s="142"/>
      <c r="DV269" s="142"/>
      <c r="DW269" s="142"/>
      <c r="DX269" s="142"/>
      <c r="DY269" s="142"/>
      <c r="DZ269" s="142"/>
      <c r="EA269" s="142"/>
      <c r="EB269" s="142"/>
      <c r="EC269" s="142"/>
      <c r="ED269" s="142"/>
      <c r="EE269" s="142"/>
      <c r="EF269" s="142"/>
      <c r="EG269" s="142"/>
      <c r="EH269" s="142"/>
      <c r="EI269" s="142"/>
      <c r="EJ269" s="142"/>
      <c r="EK269" s="142"/>
      <c r="EL269" s="142"/>
      <c r="EM269" s="142"/>
      <c r="EN269" s="142"/>
      <c r="EO269" s="142"/>
      <c r="EP269" s="142"/>
      <c r="EQ269" s="142"/>
      <c r="ER269" s="142"/>
      <c r="ES269" s="142"/>
      <c r="ET269" s="142"/>
      <c r="EU269" s="142"/>
      <c r="EV269" s="142"/>
      <c r="EW269" s="142"/>
      <c r="EX269" s="142"/>
      <c r="EY269" s="142"/>
      <c r="EZ269" s="142"/>
      <c r="FA269" s="142"/>
      <c r="FB269" s="142"/>
      <c r="FC269" s="142"/>
      <c r="FD269" s="142"/>
      <c r="FE269" s="142"/>
      <c r="FF269" s="142"/>
      <c r="FG269" s="142"/>
      <c r="FH269" s="142"/>
      <c r="FI269" s="142"/>
      <c r="FJ269" s="142"/>
      <c r="FK269" s="142"/>
      <c r="FL269" s="142"/>
      <c r="FM269" s="142"/>
      <c r="FN269" s="142"/>
      <c r="FO269" s="142"/>
      <c r="FP269" s="142"/>
      <c r="FQ269" s="142"/>
      <c r="FR269" s="142"/>
      <c r="FS269" s="142"/>
      <c r="FT269" s="142"/>
      <c r="FU269" s="142"/>
      <c r="FV269" s="142"/>
      <c r="FW269" s="142"/>
      <c r="FX269" s="142"/>
      <c r="FY269" s="142"/>
      <c r="FZ269" s="142"/>
      <c r="GA269" s="142"/>
      <c r="GB269" s="142"/>
      <c r="GC269" s="142"/>
      <c r="GD269" s="142"/>
      <c r="GE269" s="142"/>
      <c r="GF269" s="142"/>
      <c r="GG269" s="142"/>
      <c r="GH269" s="142"/>
      <c r="GI269" s="142"/>
      <c r="GJ269" s="142"/>
      <c r="GK269" s="142"/>
      <c r="GL269" s="142"/>
      <c r="GM269" s="142"/>
      <c r="GN269" s="142"/>
      <c r="GO269" s="142"/>
      <c r="GP269" s="142"/>
      <c r="GQ269" s="142"/>
      <c r="GR269" s="142"/>
      <c r="GS269" s="142"/>
      <c r="GT269" s="142"/>
      <c r="GU269" s="142"/>
      <c r="GV269" s="142"/>
      <c r="GW269" s="142"/>
      <c r="GX269" s="142"/>
      <c r="GY269" s="142"/>
      <c r="GZ269" s="142"/>
      <c r="HA269" s="142"/>
      <c r="HB269" s="142"/>
      <c r="HC269" s="142"/>
      <c r="HD269" s="142"/>
      <c r="HE269" s="142"/>
      <c r="HF269" s="142"/>
      <c r="HG269" s="142"/>
      <c r="HH269" s="142"/>
      <c r="HI269" s="142"/>
      <c r="HJ269" s="142"/>
      <c r="HK269" s="142"/>
      <c r="HL269" s="142"/>
      <c r="HM269" s="142"/>
      <c r="HN269" s="142"/>
      <c r="HO269" s="142"/>
      <c r="HP269" s="142"/>
      <c r="HQ269" s="142"/>
      <c r="HR269" s="142"/>
      <c r="HS269" s="142"/>
      <c r="HT269" s="142"/>
      <c r="HU269" s="142"/>
      <c r="HV269" s="142"/>
      <c r="HW269" s="142"/>
      <c r="HX269" s="142"/>
      <c r="HY269" s="142"/>
      <c r="HZ269" s="142"/>
      <c r="IA269" s="142"/>
      <c r="IB269" s="142"/>
      <c r="IC269" s="142"/>
      <c r="ID269" s="142"/>
      <c r="IE269" s="142"/>
      <c r="IF269" s="142"/>
      <c r="IG269" s="142"/>
    </row>
    <row r="270" s="135" customFormat="1" ht="12.95" customHeight="1" spans="1:248">
      <c r="A270" s="154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60"/>
      <c r="AG270" s="160"/>
      <c r="AH270" s="160"/>
      <c r="AI270" s="160"/>
      <c r="AJ270" s="160"/>
      <c r="AK270" s="160"/>
      <c r="AL270" s="182"/>
      <c r="AM270" s="1"/>
      <c r="AN270" s="168"/>
      <c r="AO270" s="168"/>
      <c r="AP270" s="168"/>
      <c r="AQ270" s="168"/>
      <c r="AR270" s="168"/>
      <c r="AS270" s="168"/>
      <c r="AT270" s="168"/>
      <c r="AU270" s="168"/>
      <c r="AV270" s="168"/>
      <c r="AW270" s="168"/>
      <c r="AX270" s="168"/>
      <c r="AY270" s="168"/>
      <c r="AZ270" s="168">
        <f t="shared" si="43"/>
        <v>0</v>
      </c>
      <c r="BA270" s="141"/>
      <c r="IH270" s="142"/>
      <c r="II270" s="142"/>
      <c r="IJ270" s="142"/>
      <c r="IK270" s="142"/>
      <c r="IL270" s="142"/>
      <c r="IM270" s="142"/>
      <c r="IN270" s="142"/>
    </row>
    <row r="271" s="135" customFormat="1" ht="12.95" customHeight="1" spans="1:248">
      <c r="A271" s="154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60"/>
      <c r="AG271" s="160"/>
      <c r="AH271" s="160"/>
      <c r="AI271" s="160"/>
      <c r="AJ271" s="160"/>
      <c r="AK271" s="160"/>
      <c r="AL271" s="182"/>
      <c r="AM271" s="1"/>
      <c r="AN271" s="168"/>
      <c r="AO271" s="168"/>
      <c r="AP271" s="168"/>
      <c r="AQ271" s="168"/>
      <c r="AR271" s="168"/>
      <c r="AS271" s="168"/>
      <c r="AT271" s="168"/>
      <c r="AU271" s="168"/>
      <c r="AV271" s="168"/>
      <c r="AW271" s="168"/>
      <c r="AX271" s="168"/>
      <c r="AY271" s="168"/>
      <c r="AZ271" s="168">
        <f t="shared" si="43"/>
        <v>0</v>
      </c>
      <c r="BA271" s="141"/>
      <c r="IH271" s="142"/>
      <c r="II271" s="142"/>
      <c r="IJ271" s="142"/>
      <c r="IK271" s="142"/>
      <c r="IL271" s="142"/>
      <c r="IM271" s="142"/>
      <c r="IN271" s="142"/>
    </row>
    <row r="272" s="135" customFormat="1" ht="12.95" customHeight="1" spans="1:248">
      <c r="A272" s="154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60"/>
      <c r="AG272" s="160"/>
      <c r="AH272" s="160"/>
      <c r="AI272" s="160"/>
      <c r="AJ272" s="160"/>
      <c r="AK272" s="160"/>
      <c r="AL272" s="182"/>
      <c r="AM272" s="1"/>
      <c r="AN272" s="168"/>
      <c r="AO272" s="168"/>
      <c r="AP272" s="168"/>
      <c r="AQ272" s="168"/>
      <c r="AR272" s="168"/>
      <c r="AS272" s="168"/>
      <c r="AT272" s="168"/>
      <c r="AU272" s="168"/>
      <c r="AV272" s="168"/>
      <c r="AW272" s="168"/>
      <c r="AX272" s="168"/>
      <c r="AY272" s="168"/>
      <c r="AZ272" s="168">
        <f t="shared" si="43"/>
        <v>0</v>
      </c>
      <c r="BA272" s="141"/>
      <c r="IH272" s="142"/>
      <c r="II272" s="142"/>
      <c r="IJ272" s="142"/>
      <c r="IK272" s="142"/>
      <c r="IL272" s="142"/>
      <c r="IM272" s="142"/>
      <c r="IN272" s="142"/>
    </row>
    <row r="273" s="135" customFormat="1" ht="12.95" customHeight="1" spans="1:248">
      <c r="A273" s="154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60"/>
      <c r="AG273" s="160"/>
      <c r="AH273" s="160"/>
      <c r="AI273" s="160"/>
      <c r="AJ273" s="160"/>
      <c r="AK273" s="160"/>
      <c r="AL273" s="182"/>
      <c r="AM273" s="1"/>
      <c r="AN273" s="168"/>
      <c r="AO273" s="168"/>
      <c r="AP273" s="168"/>
      <c r="AQ273" s="168"/>
      <c r="AR273" s="168"/>
      <c r="AS273" s="168"/>
      <c r="AT273" s="168"/>
      <c r="AU273" s="168"/>
      <c r="AV273" s="168"/>
      <c r="AW273" s="168"/>
      <c r="AX273" s="168"/>
      <c r="AY273" s="168"/>
      <c r="AZ273" s="168">
        <f t="shared" si="43"/>
        <v>0</v>
      </c>
      <c r="BA273" s="141"/>
      <c r="IH273" s="142"/>
      <c r="II273" s="142"/>
      <c r="IJ273" s="142"/>
      <c r="IK273" s="142"/>
      <c r="IL273" s="142"/>
      <c r="IM273" s="142"/>
      <c r="IN273" s="142"/>
    </row>
    <row r="274" s="135" customFormat="1" ht="12.95" customHeight="1" spans="1:248">
      <c r="A274" s="154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  <c r="AC274" s="181"/>
      <c r="AD274" s="181"/>
      <c r="AE274" s="181"/>
      <c r="AF274" s="160"/>
      <c r="AG274" s="160"/>
      <c r="AH274" s="160"/>
      <c r="AI274" s="160"/>
      <c r="AJ274" s="160"/>
      <c r="AK274" s="160"/>
      <c r="AL274" s="182"/>
      <c r="AM274" s="1"/>
      <c r="AN274" s="168"/>
      <c r="AO274" s="168"/>
      <c r="AP274" s="168"/>
      <c r="AQ274" s="168"/>
      <c r="AR274" s="168"/>
      <c r="AS274" s="168"/>
      <c r="AT274" s="168"/>
      <c r="AU274" s="168"/>
      <c r="AV274" s="168"/>
      <c r="AW274" s="168"/>
      <c r="AX274" s="168"/>
      <c r="AY274" s="168"/>
      <c r="AZ274" s="168">
        <f t="shared" si="43"/>
        <v>0</v>
      </c>
      <c r="BA274" s="141"/>
      <c r="IH274" s="142"/>
      <c r="II274" s="142"/>
      <c r="IJ274" s="142"/>
      <c r="IK274" s="142"/>
      <c r="IL274" s="142"/>
      <c r="IM274" s="142"/>
      <c r="IN274" s="142"/>
    </row>
    <row r="275" s="135" customFormat="1" ht="12.95" customHeight="1" spans="1:248">
      <c r="A275" s="154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  <c r="AC275" s="181"/>
      <c r="AD275" s="181"/>
      <c r="AE275" s="181"/>
      <c r="AF275" s="160"/>
      <c r="AG275" s="160"/>
      <c r="AH275" s="160"/>
      <c r="AI275" s="160"/>
      <c r="AJ275" s="160"/>
      <c r="AK275" s="160"/>
      <c r="AL275" s="182"/>
      <c r="AM275" s="1"/>
      <c r="AN275" s="168"/>
      <c r="AO275" s="168"/>
      <c r="AP275" s="168"/>
      <c r="AQ275" s="168"/>
      <c r="AR275" s="168"/>
      <c r="AS275" s="168"/>
      <c r="AT275" s="168"/>
      <c r="AU275" s="168"/>
      <c r="AV275" s="168"/>
      <c r="AW275" s="168"/>
      <c r="AX275" s="168"/>
      <c r="AY275" s="168"/>
      <c r="AZ275" s="168">
        <f t="shared" si="43"/>
        <v>0</v>
      </c>
      <c r="BA275" s="141"/>
      <c r="IH275" s="142"/>
      <c r="II275" s="142"/>
      <c r="IJ275" s="142"/>
      <c r="IK275" s="142"/>
      <c r="IL275" s="142"/>
      <c r="IM275" s="142"/>
      <c r="IN275" s="142"/>
    </row>
    <row r="276" s="135" customFormat="1" ht="12.95" customHeight="1" spans="1:248">
      <c r="A276" s="154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  <c r="AC276" s="181"/>
      <c r="AD276" s="181"/>
      <c r="AE276" s="181"/>
      <c r="AF276" s="160"/>
      <c r="AG276" s="160"/>
      <c r="AH276" s="160"/>
      <c r="AI276" s="160"/>
      <c r="AJ276" s="160"/>
      <c r="AK276" s="160"/>
      <c r="AL276" s="182"/>
      <c r="AM276" s="1"/>
      <c r="AN276" s="168"/>
      <c r="AO276" s="168"/>
      <c r="AP276" s="168"/>
      <c r="AQ276" s="168"/>
      <c r="AR276" s="168"/>
      <c r="AS276" s="168"/>
      <c r="AT276" s="168"/>
      <c r="AU276" s="168"/>
      <c r="AV276" s="168"/>
      <c r="AW276" s="168"/>
      <c r="AX276" s="168"/>
      <c r="AY276" s="168"/>
      <c r="AZ276" s="168">
        <f t="shared" si="43"/>
        <v>0</v>
      </c>
      <c r="BA276" s="141"/>
      <c r="IH276" s="142"/>
      <c r="II276" s="142"/>
      <c r="IJ276" s="142"/>
      <c r="IK276" s="142"/>
      <c r="IL276" s="142"/>
      <c r="IM276" s="142"/>
      <c r="IN276" s="142"/>
    </row>
    <row r="277" s="135" customFormat="1" ht="12.95" customHeight="1" spans="1:248">
      <c r="A277" s="154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  <c r="AC277" s="181"/>
      <c r="AD277" s="181"/>
      <c r="AE277" s="181"/>
      <c r="AF277" s="160"/>
      <c r="AG277" s="160"/>
      <c r="AH277" s="160"/>
      <c r="AI277" s="160"/>
      <c r="AJ277" s="160"/>
      <c r="AK277" s="160"/>
      <c r="AL277" s="182"/>
      <c r="AM277" s="1"/>
      <c r="AN277" s="168"/>
      <c r="AO277" s="168"/>
      <c r="AP277" s="168"/>
      <c r="AQ277" s="168"/>
      <c r="AR277" s="168"/>
      <c r="AS277" s="168"/>
      <c r="AT277" s="168"/>
      <c r="AU277" s="168"/>
      <c r="AV277" s="168"/>
      <c r="AW277" s="168"/>
      <c r="AX277" s="168"/>
      <c r="AY277" s="168"/>
      <c r="AZ277" s="168">
        <f t="shared" si="43"/>
        <v>0</v>
      </c>
      <c r="BA277" s="141"/>
      <c r="IH277" s="142"/>
      <c r="II277" s="142"/>
      <c r="IJ277" s="142"/>
      <c r="IK277" s="142"/>
      <c r="IL277" s="142"/>
      <c r="IM277" s="142"/>
      <c r="IN277" s="142"/>
    </row>
    <row r="278" s="135" customFormat="1" ht="12.95" customHeight="1" spans="1:248">
      <c r="A278" s="154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  <c r="AC278" s="181"/>
      <c r="AD278" s="181"/>
      <c r="AE278" s="181"/>
      <c r="AF278" s="160"/>
      <c r="AG278" s="160"/>
      <c r="AH278" s="160"/>
      <c r="AI278" s="160"/>
      <c r="AJ278" s="160"/>
      <c r="AK278" s="160"/>
      <c r="AL278" s="182"/>
      <c r="AM278" s="1"/>
      <c r="AN278" s="168"/>
      <c r="AO278" s="168"/>
      <c r="AP278" s="168"/>
      <c r="AQ278" s="168"/>
      <c r="AR278" s="168"/>
      <c r="AS278" s="168"/>
      <c r="AT278" s="168"/>
      <c r="AU278" s="168"/>
      <c r="AV278" s="168"/>
      <c r="AW278" s="168"/>
      <c r="AX278" s="168"/>
      <c r="AY278" s="168"/>
      <c r="AZ278" s="168">
        <f t="shared" si="43"/>
        <v>0</v>
      </c>
      <c r="BA278" s="141"/>
      <c r="IH278" s="142"/>
      <c r="II278" s="142"/>
      <c r="IJ278" s="142"/>
      <c r="IK278" s="142"/>
      <c r="IL278" s="142"/>
      <c r="IM278" s="142"/>
      <c r="IN278" s="142"/>
    </row>
    <row r="279" s="135" customFormat="1" ht="12.95" customHeight="1" spans="1:248">
      <c r="A279" s="154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  <c r="AC279" s="181"/>
      <c r="AD279" s="181"/>
      <c r="AE279" s="181"/>
      <c r="AF279" s="160"/>
      <c r="AG279" s="160"/>
      <c r="AH279" s="160"/>
      <c r="AI279" s="160"/>
      <c r="AJ279" s="160"/>
      <c r="AK279" s="160"/>
      <c r="AL279" s="182"/>
      <c r="AM279" s="1"/>
      <c r="AN279" s="168"/>
      <c r="AO279" s="168"/>
      <c r="AP279" s="168"/>
      <c r="AQ279" s="168"/>
      <c r="AR279" s="168"/>
      <c r="AS279" s="168"/>
      <c r="AT279" s="168"/>
      <c r="AU279" s="168"/>
      <c r="AV279" s="168"/>
      <c r="AW279" s="168"/>
      <c r="AX279" s="168"/>
      <c r="AY279" s="168"/>
      <c r="AZ279" s="168">
        <f t="shared" si="43"/>
        <v>0</v>
      </c>
      <c r="BA279" s="141"/>
      <c r="IH279" s="142"/>
      <c r="II279" s="142"/>
      <c r="IJ279" s="142"/>
      <c r="IK279" s="142"/>
      <c r="IL279" s="142"/>
      <c r="IM279" s="142"/>
      <c r="IN279" s="142"/>
    </row>
    <row r="280" s="135" customFormat="1" ht="12.95" customHeight="1" spans="1:248">
      <c r="A280" s="154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  <c r="AC280" s="181"/>
      <c r="AD280" s="181"/>
      <c r="AE280" s="181"/>
      <c r="AF280" s="160"/>
      <c r="AG280" s="160"/>
      <c r="AH280" s="160"/>
      <c r="AI280" s="160"/>
      <c r="AJ280" s="160"/>
      <c r="AK280" s="160"/>
      <c r="AL280" s="182"/>
      <c r="AM280" s="1"/>
      <c r="AN280" s="168"/>
      <c r="AO280" s="168"/>
      <c r="AP280" s="168"/>
      <c r="AQ280" s="168"/>
      <c r="AR280" s="168"/>
      <c r="AS280" s="168"/>
      <c r="AT280" s="168"/>
      <c r="AU280" s="168"/>
      <c r="AV280" s="168"/>
      <c r="AW280" s="168"/>
      <c r="AX280" s="168"/>
      <c r="AY280" s="168"/>
      <c r="AZ280" s="168">
        <f t="shared" si="43"/>
        <v>0</v>
      </c>
      <c r="BA280" s="141"/>
      <c r="IH280" s="142"/>
      <c r="II280" s="142"/>
      <c r="IJ280" s="142"/>
      <c r="IK280" s="142"/>
      <c r="IL280" s="142"/>
      <c r="IM280" s="142"/>
      <c r="IN280" s="142"/>
    </row>
    <row r="281" s="135" customFormat="1" ht="12.95" customHeight="1" spans="1:248">
      <c r="A281" s="154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60"/>
      <c r="AG281" s="160"/>
      <c r="AH281" s="160"/>
      <c r="AI281" s="160"/>
      <c r="AJ281" s="160"/>
      <c r="AK281" s="160"/>
      <c r="AL281" s="182"/>
      <c r="AM281" s="1"/>
      <c r="AN281" s="168"/>
      <c r="AO281" s="168"/>
      <c r="AP281" s="168"/>
      <c r="AQ281" s="168"/>
      <c r="AR281" s="168"/>
      <c r="AS281" s="168"/>
      <c r="AT281" s="168"/>
      <c r="AU281" s="168"/>
      <c r="AV281" s="168"/>
      <c r="AW281" s="168"/>
      <c r="AX281" s="168"/>
      <c r="AY281" s="168"/>
      <c r="AZ281" s="168">
        <f t="shared" si="43"/>
        <v>0</v>
      </c>
      <c r="BA281" s="141"/>
      <c r="IH281" s="142"/>
      <c r="II281" s="142"/>
      <c r="IJ281" s="142"/>
      <c r="IK281" s="142"/>
      <c r="IL281" s="142"/>
      <c r="IM281" s="142"/>
      <c r="IN281" s="142"/>
    </row>
    <row r="282" s="135" customFormat="1" ht="12.95" customHeight="1" spans="1:248">
      <c r="A282" s="154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60"/>
      <c r="AG282" s="160"/>
      <c r="AH282" s="160"/>
      <c r="AI282" s="160"/>
      <c r="AJ282" s="160"/>
      <c r="AK282" s="160"/>
      <c r="AL282" s="182"/>
      <c r="AM282" s="1"/>
      <c r="AN282" s="168"/>
      <c r="AO282" s="168"/>
      <c r="AP282" s="168"/>
      <c r="AQ282" s="168"/>
      <c r="AR282" s="168"/>
      <c r="AS282" s="168"/>
      <c r="AT282" s="168"/>
      <c r="AU282" s="168"/>
      <c r="AV282" s="168"/>
      <c r="AW282" s="168"/>
      <c r="AX282" s="168"/>
      <c r="AY282" s="168"/>
      <c r="AZ282" s="168">
        <f t="shared" si="43"/>
        <v>0</v>
      </c>
      <c r="BA282" s="141"/>
      <c r="IH282" s="142"/>
      <c r="II282" s="142"/>
      <c r="IJ282" s="142"/>
      <c r="IK282" s="142"/>
      <c r="IL282" s="142"/>
      <c r="IM282" s="142"/>
      <c r="IN282" s="142"/>
    </row>
    <row r="283" s="135" customFormat="1" ht="12.95" customHeight="1" spans="1:248">
      <c r="A283" s="154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60"/>
      <c r="AG283" s="160"/>
      <c r="AH283" s="160"/>
      <c r="AI283" s="160"/>
      <c r="AJ283" s="160"/>
      <c r="AK283" s="160"/>
      <c r="AL283" s="182"/>
      <c r="AM283" s="1"/>
      <c r="AN283" s="168"/>
      <c r="AO283" s="168"/>
      <c r="AP283" s="168"/>
      <c r="AQ283" s="168"/>
      <c r="AR283" s="168"/>
      <c r="AS283" s="168"/>
      <c r="AT283" s="168"/>
      <c r="AU283" s="168"/>
      <c r="AV283" s="168"/>
      <c r="AW283" s="168"/>
      <c r="AX283" s="168"/>
      <c r="AY283" s="168"/>
      <c r="AZ283" s="168">
        <f t="shared" si="43"/>
        <v>0</v>
      </c>
      <c r="BA283" s="141"/>
      <c r="IH283" s="142"/>
      <c r="II283" s="142"/>
      <c r="IJ283" s="142"/>
      <c r="IK283" s="142"/>
      <c r="IL283" s="142"/>
      <c r="IM283" s="142"/>
      <c r="IN283" s="142"/>
    </row>
    <row r="284" s="135" customFormat="1" ht="12.95" customHeight="1" spans="1:248">
      <c r="A284" s="154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60"/>
      <c r="AG284" s="160"/>
      <c r="AH284" s="160"/>
      <c r="AI284" s="160"/>
      <c r="AJ284" s="160"/>
      <c r="AK284" s="160"/>
      <c r="AL284" s="182"/>
      <c r="AM284" s="1"/>
      <c r="AN284" s="168"/>
      <c r="AO284" s="168"/>
      <c r="AP284" s="168"/>
      <c r="AQ284" s="168"/>
      <c r="AR284" s="168"/>
      <c r="AS284" s="168"/>
      <c r="AT284" s="168"/>
      <c r="AU284" s="168"/>
      <c r="AV284" s="168"/>
      <c r="AW284" s="168"/>
      <c r="AX284" s="168"/>
      <c r="AY284" s="168"/>
      <c r="AZ284" s="168">
        <f t="shared" si="43"/>
        <v>0</v>
      </c>
      <c r="BA284" s="141"/>
      <c r="IH284" s="142"/>
      <c r="II284" s="142"/>
      <c r="IJ284" s="142"/>
      <c r="IK284" s="142"/>
      <c r="IL284" s="142"/>
      <c r="IM284" s="142"/>
      <c r="IN284" s="142"/>
    </row>
    <row r="285" s="135" customFormat="1" ht="12.95" customHeight="1" spans="1:248">
      <c r="A285" s="154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60"/>
      <c r="AG285" s="160"/>
      <c r="AH285" s="160"/>
      <c r="AI285" s="160"/>
      <c r="AJ285" s="160"/>
      <c r="AK285" s="160"/>
      <c r="AL285" s="182"/>
      <c r="AM285" s="1"/>
      <c r="AN285" s="168"/>
      <c r="AO285" s="168"/>
      <c r="AP285" s="168"/>
      <c r="AQ285" s="168"/>
      <c r="AR285" s="168"/>
      <c r="AS285" s="168"/>
      <c r="AT285" s="168"/>
      <c r="AU285" s="168"/>
      <c r="AV285" s="168"/>
      <c r="AW285" s="168"/>
      <c r="AX285" s="168"/>
      <c r="AY285" s="168"/>
      <c r="AZ285" s="168">
        <f t="shared" si="43"/>
        <v>0</v>
      </c>
      <c r="BA285" s="141"/>
      <c r="IH285" s="142"/>
      <c r="II285" s="142"/>
      <c r="IJ285" s="142"/>
      <c r="IK285" s="142"/>
      <c r="IL285" s="142"/>
      <c r="IM285" s="142"/>
      <c r="IN285" s="142"/>
    </row>
    <row r="286" s="135" customFormat="1" ht="12.95" customHeight="1" spans="1:248">
      <c r="A286" s="154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60"/>
      <c r="AG286" s="160"/>
      <c r="AH286" s="160"/>
      <c r="AI286" s="160"/>
      <c r="AJ286" s="160"/>
      <c r="AK286" s="160"/>
      <c r="AL286" s="182"/>
      <c r="AM286" s="1"/>
      <c r="AN286" s="168"/>
      <c r="AO286" s="168"/>
      <c r="AP286" s="168"/>
      <c r="AQ286" s="168"/>
      <c r="AR286" s="168"/>
      <c r="AS286" s="168"/>
      <c r="AT286" s="168"/>
      <c r="AU286" s="168"/>
      <c r="AV286" s="168"/>
      <c r="AW286" s="168"/>
      <c r="AX286" s="168"/>
      <c r="AY286" s="168"/>
      <c r="AZ286" s="168">
        <f t="shared" si="43"/>
        <v>0</v>
      </c>
      <c r="BA286" s="141"/>
      <c r="IH286" s="142"/>
      <c r="II286" s="142"/>
      <c r="IJ286" s="142"/>
      <c r="IK286" s="142"/>
      <c r="IL286" s="142"/>
      <c r="IM286" s="142"/>
      <c r="IN286" s="142"/>
    </row>
    <row r="287" s="135" customFormat="1" ht="12.95" customHeight="1" spans="1:248">
      <c r="A287" s="154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60"/>
      <c r="AG287" s="160"/>
      <c r="AH287" s="160"/>
      <c r="AI287" s="160"/>
      <c r="AJ287" s="160"/>
      <c r="AK287" s="160"/>
      <c r="AL287" s="182"/>
      <c r="AM287" s="1"/>
      <c r="AN287" s="168"/>
      <c r="AO287" s="168"/>
      <c r="AP287" s="168"/>
      <c r="AQ287" s="168"/>
      <c r="AR287" s="168"/>
      <c r="AS287" s="168"/>
      <c r="AT287" s="168"/>
      <c r="AU287" s="168"/>
      <c r="AV287" s="168"/>
      <c r="AW287" s="168"/>
      <c r="AX287" s="168"/>
      <c r="AY287" s="168"/>
      <c r="AZ287" s="168">
        <f t="shared" si="43"/>
        <v>0</v>
      </c>
      <c r="BA287" s="141"/>
      <c r="IH287" s="142"/>
      <c r="II287" s="142"/>
      <c r="IJ287" s="142"/>
      <c r="IK287" s="142"/>
      <c r="IL287" s="142"/>
      <c r="IM287" s="142"/>
      <c r="IN287" s="142"/>
    </row>
    <row r="288" s="135" customFormat="1" ht="12.95" customHeight="1" spans="1:248">
      <c r="A288" s="154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60"/>
      <c r="AG288" s="160"/>
      <c r="AH288" s="160"/>
      <c r="AI288" s="160"/>
      <c r="AJ288" s="160"/>
      <c r="AK288" s="160"/>
      <c r="AL288" s="182"/>
      <c r="AM288" s="1"/>
      <c r="AN288" s="168"/>
      <c r="AO288" s="168"/>
      <c r="AP288" s="168"/>
      <c r="AQ288" s="168"/>
      <c r="AR288" s="168"/>
      <c r="AS288" s="168"/>
      <c r="AT288" s="168"/>
      <c r="AU288" s="168"/>
      <c r="AV288" s="168"/>
      <c r="AW288" s="168"/>
      <c r="AX288" s="168"/>
      <c r="AY288" s="168"/>
      <c r="AZ288" s="168">
        <f t="shared" si="43"/>
        <v>0</v>
      </c>
      <c r="BA288" s="141"/>
      <c r="IH288" s="142"/>
      <c r="II288" s="142"/>
      <c r="IJ288" s="142"/>
      <c r="IK288" s="142"/>
      <c r="IL288" s="142"/>
      <c r="IM288" s="142"/>
      <c r="IN288" s="142"/>
    </row>
    <row r="289" s="135" customFormat="1" ht="12.95" customHeight="1" spans="1:248">
      <c r="A289" s="154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60"/>
      <c r="AG289" s="160"/>
      <c r="AH289" s="160"/>
      <c r="AI289" s="160"/>
      <c r="AJ289" s="160"/>
      <c r="AK289" s="160"/>
      <c r="AL289" s="182"/>
      <c r="AM289" s="1"/>
      <c r="AN289" s="168"/>
      <c r="AO289" s="168"/>
      <c r="AP289" s="168"/>
      <c r="AQ289" s="168"/>
      <c r="AR289" s="168"/>
      <c r="AS289" s="168"/>
      <c r="AT289" s="168"/>
      <c r="AU289" s="168"/>
      <c r="AV289" s="168"/>
      <c r="AW289" s="168"/>
      <c r="AX289" s="168"/>
      <c r="AY289" s="168"/>
      <c r="AZ289" s="168">
        <f t="shared" si="43"/>
        <v>0</v>
      </c>
      <c r="BA289" s="141"/>
      <c r="IH289" s="142"/>
      <c r="II289" s="142"/>
      <c r="IJ289" s="142"/>
      <c r="IK289" s="142"/>
      <c r="IL289" s="142"/>
      <c r="IM289" s="142"/>
      <c r="IN289" s="142"/>
    </row>
    <row r="290" s="135" customFormat="1" ht="12.95" customHeight="1" spans="1:248">
      <c r="A290" s="154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60"/>
      <c r="AG290" s="160"/>
      <c r="AH290" s="160"/>
      <c r="AI290" s="160"/>
      <c r="AJ290" s="160"/>
      <c r="AK290" s="160"/>
      <c r="AL290" s="182"/>
      <c r="AM290" s="1"/>
      <c r="AN290" s="168"/>
      <c r="AO290" s="168"/>
      <c r="AP290" s="168"/>
      <c r="AQ290" s="168"/>
      <c r="AR290" s="168"/>
      <c r="AS290" s="168"/>
      <c r="AT290" s="168"/>
      <c r="AU290" s="168"/>
      <c r="AV290" s="168"/>
      <c r="AW290" s="168"/>
      <c r="AX290" s="168"/>
      <c r="AY290" s="168"/>
      <c r="AZ290" s="168">
        <f t="shared" si="43"/>
        <v>0</v>
      </c>
      <c r="BA290" s="141"/>
      <c r="IH290" s="142"/>
      <c r="II290" s="142"/>
      <c r="IJ290" s="142"/>
      <c r="IK290" s="142"/>
      <c r="IL290" s="142"/>
      <c r="IM290" s="142"/>
      <c r="IN290" s="142"/>
    </row>
    <row r="291" s="135" customFormat="1" ht="12.95" customHeight="1" spans="1:248">
      <c r="A291" s="154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60"/>
      <c r="AG291" s="160"/>
      <c r="AH291" s="160"/>
      <c r="AI291" s="160"/>
      <c r="AJ291" s="160"/>
      <c r="AK291" s="160"/>
      <c r="AL291" s="182"/>
      <c r="AM291" s="1"/>
      <c r="AN291" s="168"/>
      <c r="AO291" s="168"/>
      <c r="AP291" s="168"/>
      <c r="AQ291" s="168"/>
      <c r="AR291" s="168"/>
      <c r="AS291" s="168"/>
      <c r="AT291" s="168"/>
      <c r="AU291" s="168"/>
      <c r="AV291" s="168"/>
      <c r="AW291" s="168"/>
      <c r="AX291" s="168"/>
      <c r="AY291" s="168"/>
      <c r="AZ291" s="168">
        <f t="shared" si="43"/>
        <v>0</v>
      </c>
      <c r="BA291" s="141"/>
      <c r="IH291" s="142"/>
      <c r="II291" s="142"/>
      <c r="IJ291" s="142"/>
      <c r="IK291" s="142"/>
      <c r="IL291" s="142"/>
      <c r="IM291" s="142"/>
      <c r="IN291" s="142"/>
    </row>
    <row r="292" s="135" customFormat="1" ht="12.95" customHeight="1" spans="1:248">
      <c r="A292" s="154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60"/>
      <c r="AG292" s="160"/>
      <c r="AH292" s="160"/>
      <c r="AI292" s="160"/>
      <c r="AJ292" s="160"/>
      <c r="AK292" s="160"/>
      <c r="AL292" s="182"/>
      <c r="AM292" s="1"/>
      <c r="AN292" s="168"/>
      <c r="AO292" s="168"/>
      <c r="AP292" s="168"/>
      <c r="AQ292" s="168"/>
      <c r="AR292" s="168"/>
      <c r="AS292" s="168"/>
      <c r="AT292" s="168"/>
      <c r="AU292" s="168"/>
      <c r="AV292" s="168"/>
      <c r="AW292" s="168"/>
      <c r="AX292" s="168"/>
      <c r="AY292" s="168"/>
      <c r="AZ292" s="168">
        <f t="shared" si="43"/>
        <v>0</v>
      </c>
      <c r="BA292" s="141"/>
      <c r="IH292" s="142"/>
      <c r="II292" s="142"/>
      <c r="IJ292" s="142"/>
      <c r="IK292" s="142"/>
      <c r="IL292" s="142"/>
      <c r="IM292" s="142"/>
      <c r="IN292" s="142"/>
    </row>
    <row r="293" s="135" customFormat="1" ht="12.95" customHeight="1" spans="1:248">
      <c r="A293" s="154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60"/>
      <c r="AG293" s="160"/>
      <c r="AH293" s="160"/>
      <c r="AI293" s="160"/>
      <c r="AJ293" s="160"/>
      <c r="AK293" s="160"/>
      <c r="AL293" s="182"/>
      <c r="AM293" s="1"/>
      <c r="AN293" s="168"/>
      <c r="AO293" s="168"/>
      <c r="AP293" s="168"/>
      <c r="AQ293" s="168"/>
      <c r="AR293" s="168"/>
      <c r="AS293" s="168"/>
      <c r="AT293" s="168"/>
      <c r="AU293" s="168"/>
      <c r="AV293" s="168"/>
      <c r="AW293" s="168"/>
      <c r="AX293" s="168"/>
      <c r="AY293" s="168"/>
      <c r="AZ293" s="168">
        <f t="shared" si="43"/>
        <v>0</v>
      </c>
      <c r="BA293" s="141"/>
      <c r="IH293" s="142"/>
      <c r="II293" s="142"/>
      <c r="IJ293" s="142"/>
      <c r="IK293" s="142"/>
      <c r="IL293" s="142"/>
      <c r="IM293" s="142"/>
      <c r="IN293" s="142"/>
    </row>
    <row r="294" s="135" customFormat="1" ht="12.95" customHeight="1" spans="1:248">
      <c r="A294" s="154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60"/>
      <c r="AG294" s="160"/>
      <c r="AH294" s="160"/>
      <c r="AI294" s="160"/>
      <c r="AJ294" s="160"/>
      <c r="AK294" s="160"/>
      <c r="AL294" s="182"/>
      <c r="AM294" s="1"/>
      <c r="AN294" s="168"/>
      <c r="AO294" s="168"/>
      <c r="AP294" s="168"/>
      <c r="AQ294" s="168"/>
      <c r="AR294" s="168"/>
      <c r="AS294" s="168"/>
      <c r="AT294" s="168"/>
      <c r="AU294" s="168"/>
      <c r="AV294" s="168"/>
      <c r="AW294" s="168"/>
      <c r="AX294" s="168"/>
      <c r="AY294" s="168"/>
      <c r="AZ294" s="168">
        <f t="shared" si="43"/>
        <v>0</v>
      </c>
      <c r="BA294" s="141"/>
      <c r="IH294" s="142"/>
      <c r="II294" s="142"/>
      <c r="IJ294" s="142"/>
      <c r="IK294" s="142"/>
      <c r="IL294" s="142"/>
      <c r="IM294" s="142"/>
      <c r="IN294" s="142"/>
    </row>
    <row r="295" s="135" customFormat="1" ht="12.95" customHeight="1" spans="1:248">
      <c r="A295" s="154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60"/>
      <c r="AG295" s="160"/>
      <c r="AH295" s="160"/>
      <c r="AI295" s="160"/>
      <c r="AJ295" s="160"/>
      <c r="AK295" s="160"/>
      <c r="AL295" s="182"/>
      <c r="AM295" s="1"/>
      <c r="AN295" s="168"/>
      <c r="AO295" s="168"/>
      <c r="AP295" s="168"/>
      <c r="AQ295" s="168"/>
      <c r="AR295" s="168"/>
      <c r="AS295" s="168"/>
      <c r="AT295" s="168"/>
      <c r="AU295" s="168"/>
      <c r="AV295" s="168"/>
      <c r="AW295" s="168"/>
      <c r="AX295" s="168"/>
      <c r="AY295" s="168"/>
      <c r="AZ295" s="168">
        <f t="shared" si="43"/>
        <v>0</v>
      </c>
      <c r="BA295" s="141"/>
      <c r="IH295" s="142"/>
      <c r="II295" s="142"/>
      <c r="IJ295" s="142"/>
      <c r="IK295" s="142"/>
      <c r="IL295" s="142"/>
      <c r="IM295" s="142"/>
      <c r="IN295" s="142"/>
    </row>
    <row r="296" s="135" customFormat="1" ht="12.95" customHeight="1" spans="1:248">
      <c r="A296" s="154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60"/>
      <c r="AG296" s="160"/>
      <c r="AH296" s="160"/>
      <c r="AI296" s="160"/>
      <c r="AJ296" s="160"/>
      <c r="AK296" s="160"/>
      <c r="AL296" s="182"/>
      <c r="AM296" s="1"/>
      <c r="AN296" s="168"/>
      <c r="AO296" s="168"/>
      <c r="AP296" s="168"/>
      <c r="AQ296" s="168"/>
      <c r="AR296" s="168"/>
      <c r="AS296" s="168"/>
      <c r="AT296" s="168"/>
      <c r="AU296" s="168"/>
      <c r="AV296" s="168"/>
      <c r="AW296" s="168"/>
      <c r="AX296" s="168"/>
      <c r="AY296" s="168"/>
      <c r="AZ296" s="168">
        <f t="shared" si="43"/>
        <v>0</v>
      </c>
      <c r="BA296" s="141"/>
      <c r="IH296" s="142"/>
      <c r="II296" s="142"/>
      <c r="IJ296" s="142"/>
      <c r="IK296" s="142"/>
      <c r="IL296" s="142"/>
      <c r="IM296" s="142"/>
      <c r="IN296" s="142"/>
    </row>
    <row r="297" s="135" customFormat="1" ht="12.95" customHeight="1" spans="1:248">
      <c r="A297" s="154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  <c r="AC297" s="181"/>
      <c r="AD297" s="181"/>
      <c r="AE297" s="181"/>
      <c r="AF297" s="160"/>
      <c r="AG297" s="160"/>
      <c r="AH297" s="160"/>
      <c r="AI297" s="160"/>
      <c r="AJ297" s="160"/>
      <c r="AK297" s="160"/>
      <c r="AL297" s="182"/>
      <c r="AM297" s="1"/>
      <c r="AN297" s="168"/>
      <c r="AO297" s="168"/>
      <c r="AP297" s="168"/>
      <c r="AQ297" s="168"/>
      <c r="AR297" s="168"/>
      <c r="AS297" s="168"/>
      <c r="AT297" s="168"/>
      <c r="AU297" s="168"/>
      <c r="AV297" s="168"/>
      <c r="AW297" s="168"/>
      <c r="AX297" s="168"/>
      <c r="AY297" s="168"/>
      <c r="AZ297" s="168">
        <f t="shared" si="43"/>
        <v>0</v>
      </c>
      <c r="BA297" s="141"/>
      <c r="IH297" s="142"/>
      <c r="II297" s="142"/>
      <c r="IJ297" s="142"/>
      <c r="IK297" s="142"/>
      <c r="IL297" s="142"/>
      <c r="IM297" s="142"/>
      <c r="IN297" s="142"/>
    </row>
    <row r="298" s="135" customFormat="1" ht="12.95" customHeight="1" spans="1:248">
      <c r="A298" s="154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  <c r="AC298" s="181"/>
      <c r="AD298" s="181"/>
      <c r="AE298" s="181"/>
      <c r="AF298" s="160"/>
      <c r="AG298" s="160"/>
      <c r="AH298" s="160"/>
      <c r="AI298" s="160"/>
      <c r="AJ298" s="160"/>
      <c r="AK298" s="160"/>
      <c r="AL298" s="182"/>
      <c r="AM298" s="1"/>
      <c r="AN298" s="168"/>
      <c r="AO298" s="168"/>
      <c r="AP298" s="168"/>
      <c r="AQ298" s="168"/>
      <c r="AR298" s="168"/>
      <c r="AS298" s="168"/>
      <c r="AT298" s="168"/>
      <c r="AU298" s="168"/>
      <c r="AV298" s="168"/>
      <c r="AW298" s="168"/>
      <c r="AX298" s="168"/>
      <c r="AY298" s="168"/>
      <c r="AZ298" s="168">
        <f t="shared" si="43"/>
        <v>0</v>
      </c>
      <c r="BA298" s="141"/>
      <c r="IH298" s="142"/>
      <c r="II298" s="142"/>
      <c r="IJ298" s="142"/>
      <c r="IK298" s="142"/>
      <c r="IL298" s="142"/>
      <c r="IM298" s="142"/>
      <c r="IN298" s="142"/>
    </row>
    <row r="299" s="135" customFormat="1" ht="12.95" customHeight="1" spans="1:248">
      <c r="A299" s="154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  <c r="AC299" s="181"/>
      <c r="AD299" s="181"/>
      <c r="AE299" s="181"/>
      <c r="AF299" s="160"/>
      <c r="AG299" s="160"/>
      <c r="AH299" s="160"/>
      <c r="AI299" s="160"/>
      <c r="AJ299" s="160"/>
      <c r="AK299" s="160"/>
      <c r="AL299" s="182"/>
      <c r="AM299" s="1"/>
      <c r="AN299" s="168"/>
      <c r="AO299" s="168"/>
      <c r="AP299" s="168"/>
      <c r="AQ299" s="168"/>
      <c r="AR299" s="168"/>
      <c r="AS299" s="168"/>
      <c r="AT299" s="168"/>
      <c r="AU299" s="168"/>
      <c r="AV299" s="168"/>
      <c r="AW299" s="168"/>
      <c r="AX299" s="168"/>
      <c r="AY299" s="168"/>
      <c r="AZ299" s="168">
        <f t="shared" si="43"/>
        <v>0</v>
      </c>
      <c r="BA299" s="141"/>
      <c r="IH299" s="142"/>
      <c r="II299" s="142"/>
      <c r="IJ299" s="142"/>
      <c r="IK299" s="142"/>
      <c r="IL299" s="142"/>
      <c r="IM299" s="142"/>
      <c r="IN299" s="142"/>
    </row>
    <row r="300" s="135" customFormat="1" ht="12.95" customHeight="1" spans="1:248">
      <c r="A300" s="154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  <c r="AC300" s="181"/>
      <c r="AD300" s="181"/>
      <c r="AE300" s="181"/>
      <c r="AF300" s="160"/>
      <c r="AG300" s="160"/>
      <c r="AH300" s="160"/>
      <c r="AI300" s="160"/>
      <c r="AJ300" s="160"/>
      <c r="AK300" s="160"/>
      <c r="AL300" s="182"/>
      <c r="AM300" s="1"/>
      <c r="AN300" s="168"/>
      <c r="AO300" s="168"/>
      <c r="AP300" s="168"/>
      <c r="AQ300" s="168"/>
      <c r="AR300" s="168"/>
      <c r="AS300" s="168"/>
      <c r="AT300" s="168"/>
      <c r="AU300" s="168"/>
      <c r="AV300" s="168"/>
      <c r="AW300" s="168"/>
      <c r="AX300" s="168"/>
      <c r="AY300" s="168"/>
      <c r="AZ300" s="168">
        <f t="shared" si="43"/>
        <v>0</v>
      </c>
      <c r="BA300" s="141"/>
      <c r="IH300" s="142"/>
      <c r="II300" s="142"/>
      <c r="IJ300" s="142"/>
      <c r="IK300" s="142"/>
      <c r="IL300" s="142"/>
      <c r="IM300" s="142"/>
      <c r="IN300" s="142"/>
    </row>
    <row r="301" s="135" customFormat="1" ht="12.95" customHeight="1" spans="1:248">
      <c r="A301" s="154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  <c r="AC301" s="181"/>
      <c r="AD301" s="181"/>
      <c r="AE301" s="181"/>
      <c r="AF301" s="160"/>
      <c r="AG301" s="160"/>
      <c r="AH301" s="160"/>
      <c r="AI301" s="160"/>
      <c r="AJ301" s="160"/>
      <c r="AK301" s="160"/>
      <c r="AL301" s="182"/>
      <c r="AM301" s="1"/>
      <c r="AN301" s="168"/>
      <c r="AO301" s="168"/>
      <c r="AP301" s="168"/>
      <c r="AQ301" s="168"/>
      <c r="AR301" s="168"/>
      <c r="AS301" s="168"/>
      <c r="AT301" s="168"/>
      <c r="AU301" s="168"/>
      <c r="AV301" s="168"/>
      <c r="AW301" s="168"/>
      <c r="AX301" s="168"/>
      <c r="AY301" s="168"/>
      <c r="AZ301" s="168">
        <f t="shared" si="43"/>
        <v>0</v>
      </c>
      <c r="BA301" s="141"/>
      <c r="IH301" s="142"/>
      <c r="II301" s="142"/>
      <c r="IJ301" s="142"/>
      <c r="IK301" s="142"/>
      <c r="IL301" s="142"/>
      <c r="IM301" s="142"/>
      <c r="IN301" s="142"/>
    </row>
    <row r="302" s="135" customFormat="1" ht="12.95" customHeight="1" spans="1:248">
      <c r="A302" s="154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  <c r="AC302" s="181"/>
      <c r="AD302" s="181"/>
      <c r="AE302" s="181"/>
      <c r="AF302" s="160"/>
      <c r="AG302" s="160"/>
      <c r="AH302" s="160"/>
      <c r="AI302" s="160"/>
      <c r="AJ302" s="160"/>
      <c r="AK302" s="160"/>
      <c r="AL302" s="182"/>
      <c r="AM302" s="1"/>
      <c r="AN302" s="168"/>
      <c r="AO302" s="168"/>
      <c r="AP302" s="168"/>
      <c r="AQ302" s="168"/>
      <c r="AR302" s="168"/>
      <c r="AS302" s="168"/>
      <c r="AT302" s="168"/>
      <c r="AU302" s="168"/>
      <c r="AV302" s="168"/>
      <c r="AW302" s="168"/>
      <c r="AX302" s="168"/>
      <c r="AY302" s="168"/>
      <c r="AZ302" s="168">
        <f t="shared" si="43"/>
        <v>0</v>
      </c>
      <c r="BA302" s="141"/>
      <c r="IH302" s="142"/>
      <c r="II302" s="142"/>
      <c r="IJ302" s="142"/>
      <c r="IK302" s="142"/>
      <c r="IL302" s="142"/>
      <c r="IM302" s="142"/>
      <c r="IN302" s="142"/>
    </row>
    <row r="303" s="135" customFormat="1" ht="12.95" customHeight="1" spans="1:248">
      <c r="A303" s="154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  <c r="AC303" s="181"/>
      <c r="AD303" s="181"/>
      <c r="AE303" s="181"/>
      <c r="AF303" s="160"/>
      <c r="AG303" s="160"/>
      <c r="AH303" s="160"/>
      <c r="AI303" s="160"/>
      <c r="AJ303" s="160"/>
      <c r="AK303" s="160"/>
      <c r="AL303" s="182"/>
      <c r="AM303" s="1"/>
      <c r="AN303" s="168"/>
      <c r="AO303" s="168"/>
      <c r="AP303" s="168"/>
      <c r="AQ303" s="168"/>
      <c r="AR303" s="168"/>
      <c r="AS303" s="168"/>
      <c r="AT303" s="168"/>
      <c r="AU303" s="168"/>
      <c r="AV303" s="168"/>
      <c r="AW303" s="168"/>
      <c r="AX303" s="168"/>
      <c r="AY303" s="168"/>
      <c r="AZ303" s="168">
        <f t="shared" si="43"/>
        <v>0</v>
      </c>
      <c r="BA303" s="141"/>
      <c r="IH303" s="142"/>
      <c r="II303" s="142"/>
      <c r="IJ303" s="142"/>
      <c r="IK303" s="142"/>
      <c r="IL303" s="142"/>
      <c r="IM303" s="142"/>
      <c r="IN303" s="142"/>
    </row>
    <row r="304" s="135" customFormat="1" ht="12.95" customHeight="1" spans="1:248">
      <c r="A304" s="154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60"/>
      <c r="AG304" s="160"/>
      <c r="AH304" s="160"/>
      <c r="AI304" s="160"/>
      <c r="AJ304" s="160"/>
      <c r="AK304" s="160"/>
      <c r="AL304" s="182"/>
      <c r="AM304" s="1"/>
      <c r="AN304" s="168"/>
      <c r="AO304" s="168"/>
      <c r="AP304" s="168"/>
      <c r="AQ304" s="168"/>
      <c r="AR304" s="168"/>
      <c r="AS304" s="168"/>
      <c r="AT304" s="168"/>
      <c r="AU304" s="168"/>
      <c r="AV304" s="168"/>
      <c r="AW304" s="168"/>
      <c r="AX304" s="168"/>
      <c r="AY304" s="168"/>
      <c r="AZ304" s="168">
        <f t="shared" si="43"/>
        <v>0</v>
      </c>
      <c r="BA304" s="141"/>
      <c r="IH304" s="142"/>
      <c r="II304" s="142"/>
      <c r="IJ304" s="142"/>
      <c r="IK304" s="142"/>
      <c r="IL304" s="142"/>
      <c r="IM304" s="142"/>
      <c r="IN304" s="142"/>
    </row>
    <row r="305" s="135" customFormat="1" ht="12.95" customHeight="1" spans="1:248">
      <c r="A305" s="154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60"/>
      <c r="AG305" s="160"/>
      <c r="AH305" s="160"/>
      <c r="AI305" s="160"/>
      <c r="AJ305" s="160"/>
      <c r="AK305" s="160"/>
      <c r="AL305" s="182"/>
      <c r="AM305" s="1"/>
      <c r="AN305" s="168"/>
      <c r="AO305" s="168"/>
      <c r="AP305" s="168"/>
      <c r="AQ305" s="168"/>
      <c r="AR305" s="168"/>
      <c r="AS305" s="168"/>
      <c r="AT305" s="168"/>
      <c r="AU305" s="168"/>
      <c r="AV305" s="168"/>
      <c r="AW305" s="168"/>
      <c r="AX305" s="168"/>
      <c r="AY305" s="168"/>
      <c r="AZ305" s="168">
        <f t="shared" si="43"/>
        <v>0</v>
      </c>
      <c r="BA305" s="141"/>
      <c r="IH305" s="142"/>
      <c r="II305" s="142"/>
      <c r="IJ305" s="142"/>
      <c r="IK305" s="142"/>
      <c r="IL305" s="142"/>
      <c r="IM305" s="142"/>
      <c r="IN305" s="142"/>
    </row>
    <row r="306" s="135" customFormat="1" ht="12.95" customHeight="1" spans="1:248">
      <c r="A306" s="154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60"/>
      <c r="AG306" s="160"/>
      <c r="AH306" s="160"/>
      <c r="AI306" s="160"/>
      <c r="AJ306" s="160"/>
      <c r="AK306" s="160"/>
      <c r="AL306" s="182"/>
      <c r="AM306" s="1"/>
      <c r="AN306" s="168"/>
      <c r="AO306" s="168"/>
      <c r="AP306" s="168"/>
      <c r="AQ306" s="168"/>
      <c r="AR306" s="168"/>
      <c r="AS306" s="168"/>
      <c r="AT306" s="168"/>
      <c r="AU306" s="168"/>
      <c r="AV306" s="168"/>
      <c r="AW306" s="168"/>
      <c r="AX306" s="168"/>
      <c r="AY306" s="168"/>
      <c r="AZ306" s="168">
        <f t="shared" si="43"/>
        <v>0</v>
      </c>
      <c r="BA306" s="141"/>
      <c r="IH306" s="142"/>
      <c r="II306" s="142"/>
      <c r="IJ306" s="142"/>
      <c r="IK306" s="142"/>
      <c r="IL306" s="142"/>
      <c r="IM306" s="142"/>
      <c r="IN306" s="142"/>
    </row>
    <row r="307" s="135" customFormat="1" ht="12.95" customHeight="1" spans="1:248">
      <c r="A307" s="154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60"/>
      <c r="AG307" s="160"/>
      <c r="AH307" s="160"/>
      <c r="AI307" s="160"/>
      <c r="AJ307" s="160"/>
      <c r="AK307" s="160"/>
      <c r="AL307" s="182"/>
      <c r="AM307" s="1"/>
      <c r="AN307" s="168"/>
      <c r="AO307" s="168"/>
      <c r="AP307" s="168"/>
      <c r="AQ307" s="168"/>
      <c r="AR307" s="168"/>
      <c r="AS307" s="168"/>
      <c r="AT307" s="168"/>
      <c r="AU307" s="168"/>
      <c r="AV307" s="168"/>
      <c r="AW307" s="168"/>
      <c r="AX307" s="168"/>
      <c r="AY307" s="168"/>
      <c r="AZ307" s="168">
        <f t="shared" si="43"/>
        <v>0</v>
      </c>
      <c r="BA307" s="141"/>
      <c r="IH307" s="142"/>
      <c r="II307" s="142"/>
      <c r="IJ307" s="142"/>
      <c r="IK307" s="142"/>
      <c r="IL307" s="142"/>
      <c r="IM307" s="142"/>
      <c r="IN307" s="142"/>
    </row>
    <row r="308" s="135" customFormat="1" ht="12.95" customHeight="1" spans="1:248">
      <c r="A308" s="154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60"/>
      <c r="AG308" s="160"/>
      <c r="AH308" s="160"/>
      <c r="AI308" s="160"/>
      <c r="AJ308" s="160"/>
      <c r="AK308" s="160"/>
      <c r="AL308" s="182"/>
      <c r="AM308" s="1"/>
      <c r="AN308" s="168"/>
      <c r="AO308" s="168"/>
      <c r="AP308" s="168"/>
      <c r="AQ308" s="168"/>
      <c r="AR308" s="168"/>
      <c r="AS308" s="168"/>
      <c r="AT308" s="168"/>
      <c r="AU308" s="168"/>
      <c r="AV308" s="168"/>
      <c r="AW308" s="168"/>
      <c r="AX308" s="168"/>
      <c r="AY308" s="168"/>
      <c r="AZ308" s="168">
        <f t="shared" si="43"/>
        <v>0</v>
      </c>
      <c r="BA308" s="141"/>
      <c r="IH308" s="142"/>
      <c r="II308" s="142"/>
      <c r="IJ308" s="142"/>
      <c r="IK308" s="142"/>
      <c r="IL308" s="142"/>
      <c r="IM308" s="142"/>
      <c r="IN308" s="142"/>
    </row>
    <row r="309" s="135" customFormat="1" ht="12.95" customHeight="1" spans="1:248">
      <c r="A309" s="154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60"/>
      <c r="AG309" s="160"/>
      <c r="AH309" s="160"/>
      <c r="AI309" s="160"/>
      <c r="AJ309" s="160"/>
      <c r="AK309" s="160"/>
      <c r="AL309" s="160"/>
      <c r="AM309" s="1"/>
      <c r="AN309" s="168"/>
      <c r="AO309" s="168"/>
      <c r="AP309" s="168"/>
      <c r="AQ309" s="168"/>
      <c r="AR309" s="168"/>
      <c r="AS309" s="168"/>
      <c r="AT309" s="168"/>
      <c r="AU309" s="168"/>
      <c r="AV309" s="168"/>
      <c r="AW309" s="168"/>
      <c r="AX309" s="168"/>
      <c r="AY309" s="168"/>
      <c r="AZ309" s="168">
        <f t="shared" si="43"/>
        <v>0</v>
      </c>
      <c r="BA309" s="141"/>
      <c r="IH309" s="142"/>
      <c r="II309" s="142"/>
      <c r="IJ309" s="142"/>
      <c r="IK309" s="142"/>
      <c r="IL309" s="142"/>
      <c r="IM309" s="142"/>
      <c r="IN309" s="142"/>
    </row>
    <row r="310" s="135" customFormat="1" ht="12.95" customHeight="1" spans="1:248">
      <c r="A310" s="154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60"/>
      <c r="AG310" s="160"/>
      <c r="AH310" s="160"/>
      <c r="AI310" s="160"/>
      <c r="AJ310" s="160"/>
      <c r="AK310" s="160"/>
      <c r="AL310" s="160"/>
      <c r="AM310" s="1"/>
      <c r="AN310" s="168"/>
      <c r="AO310" s="168"/>
      <c r="AP310" s="168"/>
      <c r="AQ310" s="168"/>
      <c r="AR310" s="168"/>
      <c r="AS310" s="168"/>
      <c r="AT310" s="168"/>
      <c r="AU310" s="168"/>
      <c r="AV310" s="168"/>
      <c r="AW310" s="168"/>
      <c r="AX310" s="168"/>
      <c r="AY310" s="168"/>
      <c r="AZ310" s="168">
        <f t="shared" si="43"/>
        <v>0</v>
      </c>
      <c r="BA310" s="141"/>
      <c r="IH310" s="142"/>
      <c r="II310" s="142"/>
      <c r="IJ310" s="142"/>
      <c r="IK310" s="142"/>
      <c r="IL310" s="142"/>
      <c r="IM310" s="142"/>
      <c r="IN310" s="142"/>
    </row>
    <row r="311" s="135" customFormat="1" ht="12.95" customHeight="1" spans="1:248">
      <c r="A311" s="154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60"/>
      <c r="AG311" s="160"/>
      <c r="AH311" s="160"/>
      <c r="AI311" s="160"/>
      <c r="AJ311" s="160"/>
      <c r="AK311" s="160"/>
      <c r="AL311" s="160"/>
      <c r="AM311" s="1"/>
      <c r="AN311" s="168"/>
      <c r="AO311" s="168"/>
      <c r="AP311" s="168"/>
      <c r="AQ311" s="168"/>
      <c r="AR311" s="168"/>
      <c r="AS311" s="168"/>
      <c r="AT311" s="168"/>
      <c r="AU311" s="168"/>
      <c r="AV311" s="168"/>
      <c r="AW311" s="168"/>
      <c r="AX311" s="168"/>
      <c r="AY311" s="168"/>
      <c r="AZ311" s="168">
        <f t="shared" si="43"/>
        <v>0</v>
      </c>
      <c r="BA311" s="141"/>
      <c r="IH311" s="142"/>
      <c r="II311" s="142"/>
      <c r="IJ311" s="142"/>
      <c r="IK311" s="142"/>
      <c r="IL311" s="142"/>
      <c r="IM311" s="142"/>
      <c r="IN311" s="142"/>
    </row>
    <row r="312" s="135" customFormat="1" ht="12.95" customHeight="1" spans="1:248">
      <c r="A312" s="154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60"/>
      <c r="AG312" s="160"/>
      <c r="AH312" s="160"/>
      <c r="AI312" s="160"/>
      <c r="AJ312" s="160"/>
      <c r="AK312" s="160"/>
      <c r="AL312" s="160"/>
      <c r="AM312" s="1"/>
      <c r="AN312" s="168"/>
      <c r="AO312" s="168"/>
      <c r="AP312" s="168"/>
      <c r="AQ312" s="168"/>
      <c r="AR312" s="168"/>
      <c r="AS312" s="168"/>
      <c r="AT312" s="168"/>
      <c r="AU312" s="168"/>
      <c r="AV312" s="168"/>
      <c r="AW312" s="168"/>
      <c r="AX312" s="168"/>
      <c r="AY312" s="168"/>
      <c r="AZ312" s="168">
        <f t="shared" si="43"/>
        <v>0</v>
      </c>
      <c r="BA312" s="141"/>
      <c r="IH312" s="142"/>
      <c r="II312" s="142"/>
      <c r="IJ312" s="142"/>
      <c r="IK312" s="142"/>
      <c r="IL312" s="142"/>
      <c r="IM312" s="142"/>
      <c r="IN312" s="142"/>
    </row>
    <row r="313" s="135" customFormat="1" ht="12.95" customHeight="1" spans="1:248">
      <c r="A313" s="154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60"/>
      <c r="AG313" s="160"/>
      <c r="AH313" s="160"/>
      <c r="AI313" s="160"/>
      <c r="AJ313" s="160"/>
      <c r="AK313" s="160"/>
      <c r="AL313" s="160"/>
      <c r="AM313" s="1"/>
      <c r="AN313" s="168"/>
      <c r="AO313" s="168"/>
      <c r="AP313" s="168"/>
      <c r="AQ313" s="168"/>
      <c r="AR313" s="168"/>
      <c r="AS313" s="168"/>
      <c r="AT313" s="168"/>
      <c r="AU313" s="168"/>
      <c r="AV313" s="168"/>
      <c r="AW313" s="168"/>
      <c r="AX313" s="168"/>
      <c r="AY313" s="168"/>
      <c r="AZ313" s="168">
        <f t="shared" si="43"/>
        <v>0</v>
      </c>
      <c r="BA313" s="141"/>
      <c r="IH313" s="142"/>
      <c r="II313" s="142"/>
      <c r="IJ313" s="142"/>
      <c r="IK313" s="142"/>
      <c r="IL313" s="142"/>
      <c r="IM313" s="142"/>
      <c r="IN313" s="142"/>
    </row>
    <row r="314" s="135" customFormat="1" ht="12.95" customHeight="1" spans="1:253">
      <c r="A314" s="154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60"/>
      <c r="AG314" s="160"/>
      <c r="AH314" s="160"/>
      <c r="AI314" s="160"/>
      <c r="AJ314" s="160"/>
      <c r="AK314" s="160"/>
      <c r="AL314" s="160"/>
      <c r="AM314" s="1"/>
      <c r="AN314" s="168"/>
      <c r="AO314" s="168"/>
      <c r="AP314" s="168"/>
      <c r="AQ314" s="168"/>
      <c r="AR314" s="168"/>
      <c r="AS314" s="168"/>
      <c r="AT314" s="168"/>
      <c r="AU314" s="168"/>
      <c r="AV314" s="168"/>
      <c r="AW314" s="168"/>
      <c r="AX314" s="168"/>
      <c r="AY314" s="168"/>
      <c r="AZ314" s="168">
        <f t="shared" si="43"/>
        <v>0</v>
      </c>
      <c r="BA314" s="141"/>
      <c r="IH314" s="142"/>
      <c r="II314" s="142"/>
      <c r="IJ314" s="142"/>
      <c r="IK314" s="142"/>
      <c r="IL314" s="142"/>
      <c r="IM314" s="142"/>
      <c r="IN314" s="142"/>
      <c r="IO314" s="142"/>
      <c r="IP314" s="142"/>
      <c r="IQ314" s="142"/>
      <c r="IR314" s="142"/>
      <c r="IS314" s="142"/>
    </row>
    <row r="315" s="135" customFormat="1" ht="12.95" customHeight="1" spans="1:248">
      <c r="A315" s="154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60"/>
      <c r="AG315" s="160"/>
      <c r="AH315" s="160"/>
      <c r="AI315" s="160"/>
      <c r="AJ315" s="160"/>
      <c r="AK315" s="160"/>
      <c r="AL315" s="160"/>
      <c r="AM315" s="1"/>
      <c r="AN315" s="168"/>
      <c r="AO315" s="168"/>
      <c r="AP315" s="168"/>
      <c r="AQ315" s="168"/>
      <c r="AR315" s="168"/>
      <c r="AS315" s="168"/>
      <c r="AT315" s="168"/>
      <c r="AU315" s="168"/>
      <c r="AV315" s="168"/>
      <c r="AW315" s="168"/>
      <c r="AX315" s="168"/>
      <c r="AY315" s="168"/>
      <c r="AZ315" s="168">
        <f t="shared" si="43"/>
        <v>0</v>
      </c>
      <c r="BA315" s="141"/>
      <c r="IH315" s="142"/>
      <c r="II315" s="142"/>
      <c r="IJ315" s="142"/>
      <c r="IK315" s="142"/>
      <c r="IL315" s="142"/>
      <c r="IM315" s="142"/>
      <c r="IN315" s="142"/>
    </row>
    <row r="316" s="135" customFormat="1" ht="12.95" customHeight="1" spans="1:248">
      <c r="A316" s="154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60"/>
      <c r="AG316" s="160"/>
      <c r="AH316" s="160"/>
      <c r="AI316" s="160"/>
      <c r="AJ316" s="160"/>
      <c r="AK316" s="160"/>
      <c r="AL316" s="160"/>
      <c r="AM316" s="1"/>
      <c r="AN316" s="168"/>
      <c r="AO316" s="168"/>
      <c r="AP316" s="168"/>
      <c r="AQ316" s="168"/>
      <c r="AR316" s="168"/>
      <c r="AS316" s="168"/>
      <c r="AT316" s="168"/>
      <c r="AU316" s="168"/>
      <c r="AV316" s="168"/>
      <c r="AW316" s="168"/>
      <c r="AX316" s="168"/>
      <c r="AY316" s="168"/>
      <c r="AZ316" s="168">
        <f t="shared" si="43"/>
        <v>0</v>
      </c>
      <c r="BA316" s="141"/>
      <c r="IH316" s="142"/>
      <c r="II316" s="142"/>
      <c r="IJ316" s="142"/>
      <c r="IK316" s="142"/>
      <c r="IL316" s="142"/>
      <c r="IM316" s="142"/>
      <c r="IN316" s="142"/>
    </row>
    <row r="317" s="135" customFormat="1" ht="12.95" customHeight="1" spans="1:248">
      <c r="A317" s="154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60"/>
      <c r="AG317" s="160"/>
      <c r="AH317" s="160"/>
      <c r="AI317" s="160"/>
      <c r="AJ317" s="160"/>
      <c r="AK317" s="160"/>
      <c r="AL317" s="160"/>
      <c r="AM317" s="1"/>
      <c r="AN317" s="168"/>
      <c r="AO317" s="168"/>
      <c r="AP317" s="168"/>
      <c r="AQ317" s="168"/>
      <c r="AR317" s="168"/>
      <c r="AS317" s="168"/>
      <c r="AT317" s="168"/>
      <c r="AU317" s="168"/>
      <c r="AV317" s="168"/>
      <c r="AW317" s="168"/>
      <c r="AX317" s="168"/>
      <c r="AY317" s="168"/>
      <c r="AZ317" s="168">
        <f t="shared" si="43"/>
        <v>0</v>
      </c>
      <c r="BA317" s="141"/>
      <c r="IH317" s="142"/>
      <c r="II317" s="142"/>
      <c r="IJ317" s="142"/>
      <c r="IK317" s="142"/>
      <c r="IL317" s="142"/>
      <c r="IM317" s="142"/>
      <c r="IN317" s="142"/>
    </row>
    <row r="318" s="135" customFormat="1" ht="12.95" customHeight="1" spans="1:248">
      <c r="A318" s="154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60"/>
      <c r="AG318" s="160"/>
      <c r="AH318" s="160"/>
      <c r="AI318" s="160"/>
      <c r="AJ318" s="160"/>
      <c r="AK318" s="160"/>
      <c r="AL318" s="160"/>
      <c r="AM318" s="1"/>
      <c r="AN318" s="168"/>
      <c r="AO318" s="168"/>
      <c r="AP318" s="168"/>
      <c r="AQ318" s="168"/>
      <c r="AR318" s="168"/>
      <c r="AS318" s="168"/>
      <c r="AT318" s="168"/>
      <c r="AU318" s="168"/>
      <c r="AV318" s="168"/>
      <c r="AW318" s="168"/>
      <c r="AX318" s="168"/>
      <c r="AY318" s="168"/>
      <c r="AZ318" s="168">
        <f t="shared" si="43"/>
        <v>0</v>
      </c>
      <c r="BA318" s="141"/>
      <c r="IH318" s="142"/>
      <c r="II318" s="142"/>
      <c r="IJ318" s="142"/>
      <c r="IK318" s="142"/>
      <c r="IL318" s="142"/>
      <c r="IM318" s="142"/>
      <c r="IN318" s="142"/>
    </row>
    <row r="319" s="135" customFormat="1" ht="12.95" customHeight="1" spans="1:248">
      <c r="A319" s="154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60"/>
      <c r="AG319" s="160"/>
      <c r="AH319" s="160"/>
      <c r="AI319" s="160"/>
      <c r="AJ319" s="160"/>
      <c r="AK319" s="160"/>
      <c r="AL319" s="160"/>
      <c r="AM319" s="1"/>
      <c r="AN319" s="168"/>
      <c r="AO319" s="168"/>
      <c r="AP319" s="168"/>
      <c r="AQ319" s="168"/>
      <c r="AR319" s="168"/>
      <c r="AS319" s="168"/>
      <c r="AT319" s="168"/>
      <c r="AU319" s="168"/>
      <c r="AV319" s="168"/>
      <c r="AW319" s="168"/>
      <c r="AX319" s="168"/>
      <c r="AY319" s="168"/>
      <c r="AZ319" s="168">
        <f t="shared" si="43"/>
        <v>0</v>
      </c>
      <c r="BA319" s="141"/>
      <c r="IH319" s="142"/>
      <c r="II319" s="142"/>
      <c r="IJ319" s="142"/>
      <c r="IK319" s="142"/>
      <c r="IL319" s="142"/>
      <c r="IM319" s="142"/>
      <c r="IN319" s="142"/>
    </row>
    <row r="320" s="135" customFormat="1" ht="12.95" customHeight="1" spans="1:248">
      <c r="A320" s="154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  <c r="AC320" s="181"/>
      <c r="AD320" s="181"/>
      <c r="AE320" s="181"/>
      <c r="AF320" s="160"/>
      <c r="AG320" s="160"/>
      <c r="AH320" s="160"/>
      <c r="AI320" s="160"/>
      <c r="AJ320" s="160"/>
      <c r="AK320" s="160"/>
      <c r="AL320" s="160"/>
      <c r="AM320" s="1"/>
      <c r="AN320" s="168"/>
      <c r="AO320" s="168"/>
      <c r="AP320" s="168"/>
      <c r="AQ320" s="168"/>
      <c r="AR320" s="168"/>
      <c r="AS320" s="168"/>
      <c r="AT320" s="168"/>
      <c r="AU320" s="168"/>
      <c r="AV320" s="168"/>
      <c r="AW320" s="168"/>
      <c r="AX320" s="168"/>
      <c r="AY320" s="168"/>
      <c r="AZ320" s="168">
        <f t="shared" si="43"/>
        <v>0</v>
      </c>
      <c r="BA320" s="141"/>
      <c r="IH320" s="142"/>
      <c r="II320" s="142"/>
      <c r="IJ320" s="142"/>
      <c r="IK320" s="142"/>
      <c r="IL320" s="142"/>
      <c r="IM320" s="142"/>
      <c r="IN320" s="142"/>
    </row>
    <row r="321" s="135" customFormat="1" ht="12.95" customHeight="1" spans="1:248">
      <c r="A321" s="154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  <c r="AC321" s="181"/>
      <c r="AD321" s="181"/>
      <c r="AE321" s="181"/>
      <c r="AF321" s="160"/>
      <c r="AG321" s="160"/>
      <c r="AH321" s="160"/>
      <c r="AI321" s="160"/>
      <c r="AJ321" s="160"/>
      <c r="AK321" s="160"/>
      <c r="AL321" s="160"/>
      <c r="AM321" s="1"/>
      <c r="AN321" s="168"/>
      <c r="AO321" s="168"/>
      <c r="AP321" s="168"/>
      <c r="AQ321" s="168"/>
      <c r="AR321" s="168"/>
      <c r="AS321" s="168"/>
      <c r="AT321" s="168"/>
      <c r="AU321" s="168"/>
      <c r="AV321" s="168"/>
      <c r="AW321" s="168"/>
      <c r="AX321" s="168"/>
      <c r="AY321" s="168"/>
      <c r="AZ321" s="168">
        <f t="shared" si="43"/>
        <v>0</v>
      </c>
      <c r="BA321" s="141"/>
      <c r="IH321" s="142"/>
      <c r="II321" s="142"/>
      <c r="IJ321" s="142"/>
      <c r="IK321" s="142"/>
      <c r="IL321" s="142"/>
      <c r="IM321" s="142"/>
      <c r="IN321" s="142"/>
    </row>
    <row r="322" s="135" customFormat="1" ht="12.95" customHeight="1" spans="1:248">
      <c r="A322" s="154"/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  <c r="AA322" s="184"/>
      <c r="AB322" s="184"/>
      <c r="AC322" s="184"/>
      <c r="AD322" s="184"/>
      <c r="AE322" s="184"/>
      <c r="AF322" s="160"/>
      <c r="AG322" s="160"/>
      <c r="AH322" s="160"/>
      <c r="AI322" s="160"/>
      <c r="AJ322" s="160"/>
      <c r="AK322" s="160"/>
      <c r="AL322" s="184"/>
      <c r="AM322" s="1"/>
      <c r="AN322" s="168"/>
      <c r="AO322" s="168"/>
      <c r="AP322" s="168"/>
      <c r="AQ322" s="168"/>
      <c r="AR322" s="168"/>
      <c r="AS322" s="168"/>
      <c r="AT322" s="168"/>
      <c r="AU322" s="168"/>
      <c r="AV322" s="168"/>
      <c r="AW322" s="168"/>
      <c r="AX322" s="168"/>
      <c r="AY322" s="168"/>
      <c r="AZ322" s="168">
        <f t="shared" ref="AZ322:AZ346" si="44">AN322+AO322+AP322+AQ322+AR322+AS322+AT322+AU322+AV322+AW322+AX322+AY322</f>
        <v>0</v>
      </c>
      <c r="BA322" s="141"/>
      <c r="IH322" s="142"/>
      <c r="II322" s="142"/>
      <c r="IJ322" s="142"/>
      <c r="IK322" s="142"/>
      <c r="IL322" s="142"/>
      <c r="IM322" s="142"/>
      <c r="IN322" s="142"/>
    </row>
    <row r="323" s="135" customFormat="1" ht="12.95" customHeight="1" spans="1:248">
      <c r="A323" s="154"/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  <c r="AA323" s="184"/>
      <c r="AB323" s="184"/>
      <c r="AC323" s="184"/>
      <c r="AD323" s="184"/>
      <c r="AE323" s="184"/>
      <c r="AF323" s="160"/>
      <c r="AG323" s="160"/>
      <c r="AH323" s="160"/>
      <c r="AI323" s="160"/>
      <c r="AJ323" s="160"/>
      <c r="AK323" s="160"/>
      <c r="AL323" s="184"/>
      <c r="AM323" s="1"/>
      <c r="AN323" s="168"/>
      <c r="AO323" s="168"/>
      <c r="AP323" s="168"/>
      <c r="AQ323" s="168"/>
      <c r="AR323" s="168"/>
      <c r="AS323" s="168"/>
      <c r="AT323" s="168"/>
      <c r="AU323" s="168"/>
      <c r="AV323" s="168"/>
      <c r="AW323" s="168"/>
      <c r="AX323" s="168"/>
      <c r="AY323" s="168"/>
      <c r="AZ323" s="168">
        <f t="shared" si="44"/>
        <v>0</v>
      </c>
      <c r="BA323" s="141"/>
      <c r="IH323" s="142"/>
      <c r="II323" s="142"/>
      <c r="IJ323" s="142"/>
      <c r="IK323" s="142"/>
      <c r="IL323" s="142"/>
      <c r="IM323" s="142"/>
      <c r="IN323" s="142"/>
    </row>
    <row r="324" s="135" customFormat="1" ht="12.95" customHeight="1" spans="1:248">
      <c r="A324" s="154"/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  <c r="AA324" s="184"/>
      <c r="AB324" s="184"/>
      <c r="AC324" s="184"/>
      <c r="AD324" s="184"/>
      <c r="AE324" s="184"/>
      <c r="AF324" s="160"/>
      <c r="AG324" s="160"/>
      <c r="AH324" s="160"/>
      <c r="AI324" s="160"/>
      <c r="AJ324" s="160"/>
      <c r="AK324" s="160"/>
      <c r="AL324" s="184"/>
      <c r="AM324" s="1"/>
      <c r="AN324" s="168"/>
      <c r="AO324" s="168"/>
      <c r="AP324" s="168"/>
      <c r="AQ324" s="168"/>
      <c r="AR324" s="168"/>
      <c r="AS324" s="168"/>
      <c r="AT324" s="168"/>
      <c r="AU324" s="168"/>
      <c r="AV324" s="168"/>
      <c r="AW324" s="168"/>
      <c r="AX324" s="168"/>
      <c r="AY324" s="168"/>
      <c r="AZ324" s="168">
        <f t="shared" si="44"/>
        <v>0</v>
      </c>
      <c r="BA324" s="141"/>
      <c r="IH324" s="142"/>
      <c r="II324" s="142"/>
      <c r="IJ324" s="142"/>
      <c r="IK324" s="142"/>
      <c r="IL324" s="142"/>
      <c r="IM324" s="142"/>
      <c r="IN324" s="142"/>
    </row>
    <row r="325" s="135" customFormat="1" ht="12.95" customHeight="1" spans="1:248">
      <c r="A325" s="154"/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  <c r="AA325" s="184"/>
      <c r="AB325" s="184"/>
      <c r="AC325" s="184"/>
      <c r="AD325" s="184"/>
      <c r="AE325" s="184"/>
      <c r="AF325" s="160"/>
      <c r="AG325" s="160"/>
      <c r="AH325" s="160"/>
      <c r="AI325" s="160"/>
      <c r="AJ325" s="160"/>
      <c r="AK325" s="160"/>
      <c r="AL325" s="184"/>
      <c r="AM325" s="1"/>
      <c r="AN325" s="168"/>
      <c r="AO325" s="168"/>
      <c r="AP325" s="168"/>
      <c r="AQ325" s="168"/>
      <c r="AR325" s="168"/>
      <c r="AS325" s="168"/>
      <c r="AT325" s="168"/>
      <c r="AU325" s="168"/>
      <c r="AV325" s="168"/>
      <c r="AW325" s="168"/>
      <c r="AX325" s="168"/>
      <c r="AY325" s="168"/>
      <c r="AZ325" s="168">
        <f t="shared" si="44"/>
        <v>0</v>
      </c>
      <c r="BA325" s="141"/>
      <c r="IH325" s="142"/>
      <c r="II325" s="142"/>
      <c r="IJ325" s="142"/>
      <c r="IK325" s="142"/>
      <c r="IL325" s="142"/>
      <c r="IM325" s="142"/>
      <c r="IN325" s="142"/>
    </row>
    <row r="326" ht="12.95" customHeight="1" spans="1:54">
      <c r="A326" s="154"/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  <c r="AA326" s="184"/>
      <c r="AB326" s="184"/>
      <c r="AC326" s="184"/>
      <c r="AD326" s="184"/>
      <c r="AE326" s="184"/>
      <c r="AF326" s="160"/>
      <c r="AG326" s="160"/>
      <c r="AH326" s="160"/>
      <c r="AI326" s="160"/>
      <c r="AJ326" s="160"/>
      <c r="AK326" s="160"/>
      <c r="AL326" s="184"/>
      <c r="AM326" s="1"/>
      <c r="AN326" s="168"/>
      <c r="AO326" s="168"/>
      <c r="AP326" s="168"/>
      <c r="AQ326" s="168"/>
      <c r="AR326" s="168"/>
      <c r="AS326" s="168"/>
      <c r="AT326" s="168"/>
      <c r="AU326" s="168"/>
      <c r="AV326" s="168"/>
      <c r="AW326" s="168"/>
      <c r="AX326" s="168"/>
      <c r="AY326" s="168"/>
      <c r="AZ326" s="168">
        <f t="shared" si="44"/>
        <v>0</v>
      </c>
      <c r="BA326" s="183"/>
      <c r="BB326" s="142"/>
    </row>
    <row r="327" s="135" customFormat="1" ht="12.95" customHeight="1" spans="1:248">
      <c r="A327" s="154"/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  <c r="AA327" s="184"/>
      <c r="AB327" s="184"/>
      <c r="AC327" s="184"/>
      <c r="AD327" s="184"/>
      <c r="AE327" s="184"/>
      <c r="AF327" s="160"/>
      <c r="AG327" s="160"/>
      <c r="AH327" s="160"/>
      <c r="AI327" s="160"/>
      <c r="AJ327" s="160"/>
      <c r="AK327" s="160"/>
      <c r="AL327" s="184"/>
      <c r="AM327" s="1"/>
      <c r="AN327" s="168"/>
      <c r="AO327" s="168"/>
      <c r="AP327" s="168"/>
      <c r="AQ327" s="168"/>
      <c r="AR327" s="168"/>
      <c r="AS327" s="168"/>
      <c r="AT327" s="168"/>
      <c r="AU327" s="168"/>
      <c r="AV327" s="168"/>
      <c r="AW327" s="168"/>
      <c r="AX327" s="168"/>
      <c r="AY327" s="168"/>
      <c r="AZ327" s="168">
        <f t="shared" si="44"/>
        <v>0</v>
      </c>
      <c r="BA327" s="141"/>
      <c r="IH327" s="142"/>
      <c r="II327" s="142"/>
      <c r="IJ327" s="142"/>
      <c r="IK327" s="142"/>
      <c r="IL327" s="142"/>
      <c r="IM327" s="142"/>
      <c r="IN327" s="142"/>
    </row>
    <row r="328" s="135" customFormat="1" ht="12.95" customHeight="1" spans="1:248">
      <c r="A328" s="154"/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  <c r="AA328" s="184"/>
      <c r="AB328" s="184"/>
      <c r="AC328" s="184"/>
      <c r="AD328" s="184"/>
      <c r="AE328" s="184"/>
      <c r="AF328" s="160"/>
      <c r="AG328" s="160"/>
      <c r="AH328" s="160"/>
      <c r="AI328" s="160"/>
      <c r="AJ328" s="160"/>
      <c r="AK328" s="160"/>
      <c r="AL328" s="184"/>
      <c r="AM328" s="1"/>
      <c r="AN328" s="168"/>
      <c r="AO328" s="168"/>
      <c r="AP328" s="168"/>
      <c r="AQ328" s="168"/>
      <c r="AR328" s="168"/>
      <c r="AS328" s="168"/>
      <c r="AT328" s="168"/>
      <c r="AU328" s="168"/>
      <c r="AV328" s="168"/>
      <c r="AW328" s="168"/>
      <c r="AX328" s="168"/>
      <c r="AY328" s="168"/>
      <c r="AZ328" s="168">
        <f t="shared" si="44"/>
        <v>0</v>
      </c>
      <c r="BA328" s="141"/>
      <c r="IH328" s="142"/>
      <c r="II328" s="142"/>
      <c r="IJ328" s="142"/>
      <c r="IK328" s="142"/>
      <c r="IL328" s="142"/>
      <c r="IM328" s="142"/>
      <c r="IN328" s="142"/>
    </row>
    <row r="329" s="135" customFormat="1" ht="12.95" customHeight="1" spans="1:248">
      <c r="A329" s="154"/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  <c r="AA329" s="184"/>
      <c r="AB329" s="184"/>
      <c r="AC329" s="184"/>
      <c r="AD329" s="184"/>
      <c r="AE329" s="184"/>
      <c r="AF329" s="160"/>
      <c r="AG329" s="160"/>
      <c r="AH329" s="160"/>
      <c r="AI329" s="160"/>
      <c r="AJ329" s="160"/>
      <c r="AK329" s="160"/>
      <c r="AL329" s="184"/>
      <c r="AM329" s="1"/>
      <c r="AN329" s="168"/>
      <c r="AO329" s="168"/>
      <c r="AP329" s="168"/>
      <c r="AQ329" s="168"/>
      <c r="AR329" s="168"/>
      <c r="AS329" s="168"/>
      <c r="AT329" s="168"/>
      <c r="AU329" s="168"/>
      <c r="AV329" s="168"/>
      <c r="AW329" s="168"/>
      <c r="AX329" s="168"/>
      <c r="AY329" s="168"/>
      <c r="AZ329" s="168">
        <f t="shared" si="44"/>
        <v>0</v>
      </c>
      <c r="BA329" s="141"/>
      <c r="IH329" s="142"/>
      <c r="II329" s="142"/>
      <c r="IJ329" s="142"/>
      <c r="IK329" s="142"/>
      <c r="IL329" s="142"/>
      <c r="IM329" s="142"/>
      <c r="IN329" s="142"/>
    </row>
    <row r="330" s="135" customFormat="1" ht="12.95" customHeight="1" spans="1:248">
      <c r="A330" s="154"/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  <c r="AA330" s="184"/>
      <c r="AB330" s="184"/>
      <c r="AC330" s="184"/>
      <c r="AD330" s="184"/>
      <c r="AE330" s="184"/>
      <c r="AF330" s="160"/>
      <c r="AG330" s="160"/>
      <c r="AH330" s="160"/>
      <c r="AI330" s="160"/>
      <c r="AJ330" s="160"/>
      <c r="AK330" s="160"/>
      <c r="AL330" s="184"/>
      <c r="AM330" s="1"/>
      <c r="AN330" s="168"/>
      <c r="AO330" s="168"/>
      <c r="AP330" s="168"/>
      <c r="AQ330" s="168"/>
      <c r="AR330" s="168"/>
      <c r="AS330" s="168"/>
      <c r="AT330" s="168"/>
      <c r="AU330" s="168"/>
      <c r="AV330" s="168"/>
      <c r="AW330" s="168"/>
      <c r="AX330" s="168"/>
      <c r="AY330" s="168"/>
      <c r="AZ330" s="168">
        <f t="shared" si="44"/>
        <v>0</v>
      </c>
      <c r="BA330" s="141"/>
      <c r="IH330" s="142"/>
      <c r="II330" s="142"/>
      <c r="IJ330" s="142"/>
      <c r="IK330" s="142"/>
      <c r="IL330" s="142"/>
      <c r="IM330" s="142"/>
      <c r="IN330" s="142"/>
    </row>
    <row r="331" s="135" customFormat="1" ht="12.95" customHeight="1" spans="1:248">
      <c r="A331" s="154"/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  <c r="AA331" s="184"/>
      <c r="AB331" s="184"/>
      <c r="AC331" s="184"/>
      <c r="AD331" s="184"/>
      <c r="AE331" s="184"/>
      <c r="AF331" s="160"/>
      <c r="AG331" s="160"/>
      <c r="AH331" s="160"/>
      <c r="AI331" s="160"/>
      <c r="AJ331" s="160"/>
      <c r="AK331" s="160"/>
      <c r="AL331" s="184"/>
      <c r="AM331" s="1"/>
      <c r="AN331" s="168"/>
      <c r="AO331" s="168"/>
      <c r="AP331" s="168"/>
      <c r="AQ331" s="168"/>
      <c r="AR331" s="168"/>
      <c r="AS331" s="168"/>
      <c r="AT331" s="168"/>
      <c r="AU331" s="168"/>
      <c r="AV331" s="168"/>
      <c r="AW331" s="168"/>
      <c r="AX331" s="168"/>
      <c r="AY331" s="168"/>
      <c r="AZ331" s="168">
        <f t="shared" si="44"/>
        <v>0</v>
      </c>
      <c r="BA331" s="141"/>
      <c r="IH331" s="142"/>
      <c r="II331" s="142"/>
      <c r="IJ331" s="142"/>
      <c r="IK331" s="142"/>
      <c r="IL331" s="142"/>
      <c r="IM331" s="142"/>
      <c r="IN331" s="142"/>
    </row>
    <row r="332" s="135" customFormat="1" ht="12.95" customHeight="1" spans="1:248">
      <c r="A332" s="154"/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  <c r="AA332" s="184"/>
      <c r="AB332" s="184"/>
      <c r="AC332" s="184"/>
      <c r="AD332" s="184"/>
      <c r="AE332" s="184"/>
      <c r="AF332" s="160"/>
      <c r="AG332" s="160"/>
      <c r="AH332" s="160"/>
      <c r="AI332" s="160"/>
      <c r="AJ332" s="160"/>
      <c r="AK332" s="160"/>
      <c r="AL332" s="184"/>
      <c r="AM332" s="1"/>
      <c r="AN332" s="168"/>
      <c r="AO332" s="168"/>
      <c r="AP332" s="168"/>
      <c r="AQ332" s="168"/>
      <c r="AR332" s="168"/>
      <c r="AS332" s="168"/>
      <c r="AT332" s="168"/>
      <c r="AU332" s="168"/>
      <c r="AV332" s="168"/>
      <c r="AW332" s="168"/>
      <c r="AX332" s="168"/>
      <c r="AY332" s="168"/>
      <c r="AZ332" s="168">
        <f t="shared" si="44"/>
        <v>0</v>
      </c>
      <c r="BA332" s="141"/>
      <c r="IH332" s="142"/>
      <c r="II332" s="142"/>
      <c r="IJ332" s="142"/>
      <c r="IK332" s="142"/>
      <c r="IL332" s="142"/>
      <c r="IM332" s="142"/>
      <c r="IN332" s="142"/>
    </row>
    <row r="333" s="135" customFormat="1" ht="12.95" customHeight="1" spans="1:248">
      <c r="A333" s="154"/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  <c r="AA333" s="184"/>
      <c r="AB333" s="184"/>
      <c r="AC333" s="184"/>
      <c r="AD333" s="184"/>
      <c r="AE333" s="184"/>
      <c r="AF333" s="160"/>
      <c r="AG333" s="160"/>
      <c r="AH333" s="160"/>
      <c r="AI333" s="160"/>
      <c r="AJ333" s="160"/>
      <c r="AK333" s="160"/>
      <c r="AL333" s="184"/>
      <c r="AM333" s="1"/>
      <c r="AN333" s="168"/>
      <c r="AO333" s="168"/>
      <c r="AP333" s="168"/>
      <c r="AQ333" s="168"/>
      <c r="AR333" s="168"/>
      <c r="AS333" s="168"/>
      <c r="AT333" s="168"/>
      <c r="AU333" s="168"/>
      <c r="AV333" s="168"/>
      <c r="AW333" s="168"/>
      <c r="AX333" s="168"/>
      <c r="AY333" s="168"/>
      <c r="AZ333" s="168">
        <f t="shared" si="44"/>
        <v>0</v>
      </c>
      <c r="BA333" s="141"/>
      <c r="IH333" s="142"/>
      <c r="II333" s="142"/>
      <c r="IJ333" s="142"/>
      <c r="IK333" s="142"/>
      <c r="IL333" s="142"/>
      <c r="IM333" s="142"/>
      <c r="IN333" s="142"/>
    </row>
    <row r="334" s="135" customFormat="1" ht="12.95" customHeight="1" spans="1:248">
      <c r="A334" s="154"/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  <c r="AA334" s="184"/>
      <c r="AB334" s="184"/>
      <c r="AC334" s="184"/>
      <c r="AD334" s="184"/>
      <c r="AE334" s="184"/>
      <c r="AF334" s="160"/>
      <c r="AG334" s="160"/>
      <c r="AH334" s="160"/>
      <c r="AI334" s="160"/>
      <c r="AJ334" s="160"/>
      <c r="AK334" s="160"/>
      <c r="AL334" s="184"/>
      <c r="AM334" s="1"/>
      <c r="AN334" s="168"/>
      <c r="AO334" s="168"/>
      <c r="AP334" s="168"/>
      <c r="AQ334" s="168"/>
      <c r="AR334" s="168"/>
      <c r="AS334" s="168"/>
      <c r="AT334" s="168"/>
      <c r="AU334" s="168"/>
      <c r="AV334" s="168"/>
      <c r="AW334" s="168"/>
      <c r="AX334" s="168"/>
      <c r="AY334" s="168"/>
      <c r="AZ334" s="168">
        <f t="shared" si="44"/>
        <v>0</v>
      </c>
      <c r="BA334" s="141"/>
      <c r="IH334" s="142"/>
      <c r="II334" s="142"/>
      <c r="IJ334" s="142"/>
      <c r="IK334" s="142"/>
      <c r="IL334" s="142"/>
      <c r="IM334" s="142"/>
      <c r="IN334" s="142"/>
    </row>
    <row r="335" s="135" customFormat="1" ht="12.95" customHeight="1" spans="1:248">
      <c r="A335" s="154"/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  <c r="AA335" s="184"/>
      <c r="AB335" s="184"/>
      <c r="AC335" s="184"/>
      <c r="AD335" s="184"/>
      <c r="AE335" s="184"/>
      <c r="AF335" s="160"/>
      <c r="AG335" s="160"/>
      <c r="AH335" s="160"/>
      <c r="AI335" s="160"/>
      <c r="AJ335" s="160"/>
      <c r="AK335" s="160"/>
      <c r="AL335" s="184"/>
      <c r="AM335" s="1"/>
      <c r="AN335" s="168"/>
      <c r="AO335" s="168"/>
      <c r="AP335" s="168"/>
      <c r="AQ335" s="168"/>
      <c r="AR335" s="168"/>
      <c r="AS335" s="168"/>
      <c r="AT335" s="168"/>
      <c r="AU335" s="168"/>
      <c r="AV335" s="168"/>
      <c r="AW335" s="168"/>
      <c r="AX335" s="168"/>
      <c r="AY335" s="168"/>
      <c r="AZ335" s="168">
        <f t="shared" si="44"/>
        <v>0</v>
      </c>
      <c r="BA335" s="141"/>
      <c r="IH335" s="142"/>
      <c r="II335" s="142"/>
      <c r="IJ335" s="142"/>
      <c r="IK335" s="142"/>
      <c r="IL335" s="142"/>
      <c r="IM335" s="142"/>
      <c r="IN335" s="142"/>
    </row>
    <row r="336" s="135" customFormat="1" ht="12.95" customHeight="1" spans="1:248">
      <c r="A336" s="154"/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  <c r="AA336" s="184"/>
      <c r="AB336" s="184"/>
      <c r="AC336" s="184"/>
      <c r="AD336" s="184"/>
      <c r="AE336" s="184"/>
      <c r="AF336" s="160"/>
      <c r="AG336" s="160"/>
      <c r="AH336" s="160"/>
      <c r="AI336" s="160"/>
      <c r="AJ336" s="160"/>
      <c r="AK336" s="160"/>
      <c r="AL336" s="184"/>
      <c r="AM336" s="1"/>
      <c r="AN336" s="168"/>
      <c r="AO336" s="168"/>
      <c r="AP336" s="168"/>
      <c r="AQ336" s="168"/>
      <c r="AR336" s="168"/>
      <c r="AS336" s="168"/>
      <c r="AT336" s="168"/>
      <c r="AU336" s="168"/>
      <c r="AV336" s="168"/>
      <c r="AW336" s="168"/>
      <c r="AX336" s="168"/>
      <c r="AY336" s="168"/>
      <c r="AZ336" s="168">
        <f t="shared" si="44"/>
        <v>0</v>
      </c>
      <c r="BA336" s="141"/>
      <c r="IH336" s="142"/>
      <c r="II336" s="142"/>
      <c r="IJ336" s="142"/>
      <c r="IK336" s="142"/>
      <c r="IL336" s="142"/>
      <c r="IM336" s="142"/>
      <c r="IN336" s="142"/>
    </row>
    <row r="337" s="135" customFormat="1" ht="12.95" customHeight="1" spans="1:248">
      <c r="A337" s="15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  <c r="AA337" s="184"/>
      <c r="AB337" s="184"/>
      <c r="AC337" s="184"/>
      <c r="AD337" s="184"/>
      <c r="AE337" s="184"/>
      <c r="AF337" s="160"/>
      <c r="AG337" s="160"/>
      <c r="AH337" s="160"/>
      <c r="AI337" s="160"/>
      <c r="AJ337" s="160"/>
      <c r="AK337" s="160"/>
      <c r="AL337" s="184"/>
      <c r="AM337" s="1"/>
      <c r="AN337" s="168"/>
      <c r="AO337" s="168"/>
      <c r="AP337" s="168"/>
      <c r="AQ337" s="168"/>
      <c r="AR337" s="168"/>
      <c r="AS337" s="168"/>
      <c r="AT337" s="168"/>
      <c r="AU337" s="168"/>
      <c r="AV337" s="168"/>
      <c r="AW337" s="168"/>
      <c r="AX337" s="168"/>
      <c r="AY337" s="168"/>
      <c r="AZ337" s="168">
        <f t="shared" si="44"/>
        <v>0</v>
      </c>
      <c r="BA337" s="141"/>
      <c r="IH337" s="142"/>
      <c r="II337" s="142"/>
      <c r="IJ337" s="142"/>
      <c r="IK337" s="142"/>
      <c r="IL337" s="142"/>
      <c r="IM337" s="142"/>
      <c r="IN337" s="142"/>
    </row>
    <row r="338" s="135" customFormat="1" ht="12.95" customHeight="1" spans="1:248">
      <c r="A338" s="15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  <c r="AA338" s="184"/>
      <c r="AB338" s="184"/>
      <c r="AC338" s="184"/>
      <c r="AD338" s="184"/>
      <c r="AE338" s="184"/>
      <c r="AF338" s="160"/>
      <c r="AG338" s="160"/>
      <c r="AH338" s="160"/>
      <c r="AI338" s="160"/>
      <c r="AJ338" s="160"/>
      <c r="AK338" s="160"/>
      <c r="AL338" s="184"/>
      <c r="AM338" s="1"/>
      <c r="AN338" s="168"/>
      <c r="AO338" s="168"/>
      <c r="AP338" s="168"/>
      <c r="AQ338" s="168"/>
      <c r="AR338" s="168"/>
      <c r="AS338" s="168"/>
      <c r="AT338" s="168"/>
      <c r="AU338" s="168"/>
      <c r="AV338" s="168"/>
      <c r="AW338" s="168"/>
      <c r="AX338" s="168"/>
      <c r="AY338" s="168"/>
      <c r="AZ338" s="168">
        <f t="shared" si="44"/>
        <v>0</v>
      </c>
      <c r="BA338" s="141"/>
      <c r="IH338" s="142"/>
      <c r="II338" s="142"/>
      <c r="IJ338" s="142"/>
      <c r="IK338" s="142"/>
      <c r="IL338" s="142"/>
      <c r="IM338" s="142"/>
      <c r="IN338" s="142"/>
    </row>
    <row r="339" s="135" customFormat="1" ht="12.95" customHeight="1" spans="1:248">
      <c r="A339" s="15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  <c r="AA339" s="184"/>
      <c r="AB339" s="184"/>
      <c r="AC339" s="184"/>
      <c r="AD339" s="184"/>
      <c r="AE339" s="184"/>
      <c r="AF339" s="160"/>
      <c r="AG339" s="160"/>
      <c r="AH339" s="160"/>
      <c r="AI339" s="160"/>
      <c r="AJ339" s="160"/>
      <c r="AK339" s="160"/>
      <c r="AL339" s="184"/>
      <c r="AM339" s="1"/>
      <c r="AN339" s="168"/>
      <c r="AO339" s="168"/>
      <c r="AP339" s="168"/>
      <c r="AQ339" s="168"/>
      <c r="AR339" s="168"/>
      <c r="AS339" s="168"/>
      <c r="AT339" s="168"/>
      <c r="AU339" s="168"/>
      <c r="AV339" s="168"/>
      <c r="AW339" s="168"/>
      <c r="AX339" s="168"/>
      <c r="AY339" s="168"/>
      <c r="AZ339" s="168">
        <f t="shared" si="44"/>
        <v>0</v>
      </c>
      <c r="BA339" s="141"/>
      <c r="IH339" s="142"/>
      <c r="II339" s="142"/>
      <c r="IJ339" s="142"/>
      <c r="IK339" s="142"/>
      <c r="IL339" s="142"/>
      <c r="IM339" s="142"/>
      <c r="IN339" s="142"/>
    </row>
    <row r="340" s="135" customFormat="1" ht="12.95" customHeight="1" spans="1:248">
      <c r="A340" s="15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  <c r="AA340" s="184"/>
      <c r="AB340" s="184"/>
      <c r="AC340" s="184"/>
      <c r="AD340" s="184"/>
      <c r="AE340" s="184"/>
      <c r="AF340" s="160"/>
      <c r="AG340" s="160"/>
      <c r="AH340" s="160"/>
      <c r="AI340" s="160"/>
      <c r="AJ340" s="160"/>
      <c r="AK340" s="160"/>
      <c r="AL340" s="184"/>
      <c r="AM340" s="1"/>
      <c r="AN340" s="168"/>
      <c r="AO340" s="168"/>
      <c r="AP340" s="168"/>
      <c r="AQ340" s="168"/>
      <c r="AR340" s="168"/>
      <c r="AS340" s="168"/>
      <c r="AT340" s="168"/>
      <c r="AU340" s="168"/>
      <c r="AV340" s="168"/>
      <c r="AW340" s="168"/>
      <c r="AX340" s="168"/>
      <c r="AY340" s="168"/>
      <c r="AZ340" s="168">
        <f t="shared" si="44"/>
        <v>0</v>
      </c>
      <c r="BA340" s="141"/>
      <c r="IH340" s="142"/>
      <c r="II340" s="142"/>
      <c r="IJ340" s="142"/>
      <c r="IK340" s="142"/>
      <c r="IL340" s="142"/>
      <c r="IM340" s="142"/>
      <c r="IN340" s="142"/>
    </row>
    <row r="341" s="135" customFormat="1" ht="12.95" customHeight="1" spans="1:248">
      <c r="A341" s="15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  <c r="AA341" s="184"/>
      <c r="AB341" s="184"/>
      <c r="AC341" s="184"/>
      <c r="AD341" s="184"/>
      <c r="AE341" s="184"/>
      <c r="AF341" s="160"/>
      <c r="AG341" s="160"/>
      <c r="AH341" s="160"/>
      <c r="AI341" s="160"/>
      <c r="AJ341" s="160"/>
      <c r="AK341" s="160"/>
      <c r="AL341" s="184"/>
      <c r="AM341" s="1"/>
      <c r="AN341" s="168"/>
      <c r="AO341" s="168"/>
      <c r="AP341" s="168"/>
      <c r="AQ341" s="168"/>
      <c r="AR341" s="168"/>
      <c r="AS341" s="168"/>
      <c r="AT341" s="168"/>
      <c r="AU341" s="168"/>
      <c r="AV341" s="168"/>
      <c r="AW341" s="168"/>
      <c r="AX341" s="168"/>
      <c r="AY341" s="168"/>
      <c r="AZ341" s="168">
        <f t="shared" si="44"/>
        <v>0</v>
      </c>
      <c r="BA341" s="141"/>
      <c r="IH341" s="142"/>
      <c r="II341" s="142"/>
      <c r="IJ341" s="142"/>
      <c r="IK341" s="142"/>
      <c r="IL341" s="142"/>
      <c r="IM341" s="142"/>
      <c r="IN341" s="142"/>
    </row>
    <row r="342" s="135" customFormat="1" ht="12.95" customHeight="1" spans="1:248">
      <c r="A342" s="15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  <c r="AA342" s="184"/>
      <c r="AB342" s="184"/>
      <c r="AC342" s="184"/>
      <c r="AD342" s="184"/>
      <c r="AE342" s="184"/>
      <c r="AF342" s="160"/>
      <c r="AG342" s="160"/>
      <c r="AH342" s="160"/>
      <c r="AI342" s="160"/>
      <c r="AJ342" s="160"/>
      <c r="AK342" s="160"/>
      <c r="AL342" s="184"/>
      <c r="AM342" s="1"/>
      <c r="AN342" s="168"/>
      <c r="AO342" s="168"/>
      <c r="AP342" s="168"/>
      <c r="AQ342" s="168"/>
      <c r="AR342" s="168"/>
      <c r="AS342" s="168"/>
      <c r="AT342" s="168"/>
      <c r="AU342" s="168"/>
      <c r="AV342" s="168"/>
      <c r="AW342" s="168"/>
      <c r="AX342" s="168"/>
      <c r="AY342" s="168"/>
      <c r="AZ342" s="168">
        <f t="shared" si="44"/>
        <v>0</v>
      </c>
      <c r="BA342" s="141"/>
      <c r="IH342" s="142"/>
      <c r="II342" s="142"/>
      <c r="IJ342" s="142"/>
      <c r="IK342" s="142"/>
      <c r="IL342" s="142"/>
      <c r="IM342" s="142"/>
      <c r="IN342" s="142"/>
    </row>
    <row r="343" s="135" customFormat="1" ht="12.95" customHeight="1" spans="1:248">
      <c r="A343" s="15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  <c r="AA343" s="184"/>
      <c r="AB343" s="184"/>
      <c r="AC343" s="184"/>
      <c r="AD343" s="184"/>
      <c r="AE343" s="184"/>
      <c r="AF343" s="160"/>
      <c r="AG343" s="160"/>
      <c r="AH343" s="160"/>
      <c r="AI343" s="160"/>
      <c r="AJ343" s="160"/>
      <c r="AK343" s="160"/>
      <c r="AL343" s="184"/>
      <c r="AM343" s="1"/>
      <c r="AN343" s="168"/>
      <c r="AO343" s="168"/>
      <c r="AP343" s="168"/>
      <c r="AQ343" s="168"/>
      <c r="AR343" s="168"/>
      <c r="AS343" s="168"/>
      <c r="AT343" s="168"/>
      <c r="AU343" s="168"/>
      <c r="AV343" s="168"/>
      <c r="AW343" s="168"/>
      <c r="AX343" s="168"/>
      <c r="AY343" s="168"/>
      <c r="AZ343" s="168">
        <f t="shared" si="44"/>
        <v>0</v>
      </c>
      <c r="BA343" s="141"/>
      <c r="IH343" s="142"/>
      <c r="II343" s="142"/>
      <c r="IJ343" s="142"/>
      <c r="IK343" s="142"/>
      <c r="IL343" s="142"/>
      <c r="IM343" s="142"/>
      <c r="IN343" s="142"/>
    </row>
    <row r="344" s="135" customFormat="1" ht="12.95" customHeight="1" spans="1:248">
      <c r="A344" s="15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  <c r="AA344" s="184"/>
      <c r="AB344" s="184"/>
      <c r="AC344" s="184"/>
      <c r="AD344" s="184"/>
      <c r="AE344" s="184"/>
      <c r="AF344" s="160"/>
      <c r="AG344" s="160"/>
      <c r="AH344" s="160"/>
      <c r="AI344" s="160"/>
      <c r="AJ344" s="160"/>
      <c r="AK344" s="160"/>
      <c r="AL344" s="184"/>
      <c r="AM344" s="1"/>
      <c r="AN344" s="168"/>
      <c r="AO344" s="168"/>
      <c r="AP344" s="168"/>
      <c r="AQ344" s="168"/>
      <c r="AR344" s="168"/>
      <c r="AS344" s="168"/>
      <c r="AT344" s="168"/>
      <c r="AU344" s="168"/>
      <c r="AV344" s="168"/>
      <c r="AW344" s="168"/>
      <c r="AX344" s="168"/>
      <c r="AY344" s="168"/>
      <c r="AZ344" s="168">
        <f t="shared" si="44"/>
        <v>0</v>
      </c>
      <c r="BA344" s="141"/>
      <c r="IH344" s="142"/>
      <c r="II344" s="142"/>
      <c r="IJ344" s="142"/>
      <c r="IK344" s="142"/>
      <c r="IL344" s="142"/>
      <c r="IM344" s="142"/>
      <c r="IN344" s="142"/>
    </row>
    <row r="345" s="135" customFormat="1" ht="12.95" customHeight="1" spans="1:248">
      <c r="A345" s="15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  <c r="AA345" s="184"/>
      <c r="AB345" s="184"/>
      <c r="AC345" s="184"/>
      <c r="AD345" s="184"/>
      <c r="AE345" s="184"/>
      <c r="AF345" s="160"/>
      <c r="AG345" s="160"/>
      <c r="AH345" s="160"/>
      <c r="AI345" s="160"/>
      <c r="AJ345" s="160"/>
      <c r="AK345" s="160"/>
      <c r="AL345" s="184"/>
      <c r="AM345" s="1"/>
      <c r="AN345" s="168"/>
      <c r="AO345" s="168"/>
      <c r="AP345" s="168"/>
      <c r="AQ345" s="168"/>
      <c r="AR345" s="168"/>
      <c r="AS345" s="168"/>
      <c r="AT345" s="168"/>
      <c r="AU345" s="168"/>
      <c r="AV345" s="168"/>
      <c r="AW345" s="168"/>
      <c r="AX345" s="168"/>
      <c r="AY345" s="168"/>
      <c r="AZ345" s="168">
        <f t="shared" si="44"/>
        <v>0</v>
      </c>
      <c r="BA345" s="141"/>
      <c r="IH345" s="142"/>
      <c r="II345" s="142"/>
      <c r="IJ345" s="142"/>
      <c r="IK345" s="142"/>
      <c r="IL345" s="142"/>
      <c r="IM345" s="142"/>
      <c r="IN345" s="142"/>
    </row>
    <row r="346" s="135" customFormat="1" ht="12.95" customHeight="1" spans="1:248">
      <c r="A346" s="15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  <c r="AA346" s="184"/>
      <c r="AB346" s="184"/>
      <c r="AC346" s="184"/>
      <c r="AD346" s="184"/>
      <c r="AE346" s="184"/>
      <c r="AF346" s="160"/>
      <c r="AG346" s="160"/>
      <c r="AH346" s="160"/>
      <c r="AI346" s="160"/>
      <c r="AJ346" s="160"/>
      <c r="AK346" s="160"/>
      <c r="AL346" s="184"/>
      <c r="AM346" s="1"/>
      <c r="AN346" s="168"/>
      <c r="AO346" s="168"/>
      <c r="AP346" s="168"/>
      <c r="AQ346" s="168"/>
      <c r="AR346" s="168"/>
      <c r="AS346" s="168"/>
      <c r="AT346" s="168"/>
      <c r="AU346" s="168"/>
      <c r="AV346" s="168"/>
      <c r="AW346" s="168"/>
      <c r="AX346" s="168"/>
      <c r="AY346" s="168"/>
      <c r="AZ346" s="168">
        <f t="shared" si="44"/>
        <v>0</v>
      </c>
      <c r="BA346" s="141"/>
      <c r="IH346" s="142"/>
      <c r="II346" s="142"/>
      <c r="IJ346" s="142"/>
      <c r="IK346" s="142"/>
      <c r="IL346" s="142"/>
      <c r="IM346" s="142"/>
      <c r="IN346" s="142"/>
    </row>
    <row r="347" s="135" customFormat="1" ht="12.95" customHeight="1" spans="1:248">
      <c r="A347" s="15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  <c r="AA347" s="184"/>
      <c r="AB347" s="184"/>
      <c r="AC347" s="184"/>
      <c r="AD347" s="184"/>
      <c r="AE347" s="184"/>
      <c r="AF347" s="160"/>
      <c r="AG347" s="160"/>
      <c r="AH347" s="160"/>
      <c r="AI347" s="160"/>
      <c r="AJ347" s="160"/>
      <c r="AK347" s="160"/>
      <c r="AL347" s="184"/>
      <c r="AM347" s="1"/>
      <c r="AN347" s="168">
        <f t="shared" ref="AN347:AN362" si="45">COUNTIF(G347:AK347,"病")</f>
        <v>0</v>
      </c>
      <c r="AO347" s="168">
        <f t="shared" ref="AO347:AO362" si="46">COUNTIF(G347:AK347,"事")</f>
        <v>0</v>
      </c>
      <c r="AP347" s="168">
        <f t="shared" ref="AP347:AP362" si="47">COUNTIF(G347:AK347,"探")</f>
        <v>0</v>
      </c>
      <c r="AQ347" s="168">
        <f t="shared" ref="AQ347:AQ362" si="48">COUNTIF(G347:AK347,"年")</f>
        <v>0</v>
      </c>
      <c r="AR347" s="168">
        <f t="shared" ref="AR347:AR362" si="49">COUNTIF(G347:AK347,"婚")+COUNTIF(G347:AK347,"丧")</f>
        <v>0</v>
      </c>
      <c r="AS347" s="168">
        <f t="shared" ref="AS347:AS362" si="50">COUNTIF(G347:AK347,"伤")</f>
        <v>0</v>
      </c>
      <c r="AT347" s="168">
        <f t="shared" ref="AT347:AT362" si="51">COUNTIF(G347:AK347,"护")</f>
        <v>0</v>
      </c>
      <c r="AU347" s="168">
        <f t="shared" ref="AU347:AU362" si="52">COUNTIF(G347:AK347,"旷")</f>
        <v>0</v>
      </c>
      <c r="AV347" s="168">
        <f t="shared" ref="AV347:AV362" si="53">COUNTIF(G347:AK347,"拘")</f>
        <v>0</v>
      </c>
      <c r="AW347" s="168">
        <f t="shared" ref="AW347:AW362" si="54">COUNTIF(G347:AK347,"疗")</f>
        <v>0</v>
      </c>
      <c r="AX347" s="168">
        <f t="shared" ref="AX347:AX362" si="55">COUNTIF(G347:AK347,"育")</f>
        <v>0</v>
      </c>
      <c r="AY347" s="168">
        <f t="shared" ref="AY347:AY362" si="56">COUNTIF(G347:AK347,"陪")</f>
        <v>0</v>
      </c>
      <c r="AZ347" s="168">
        <f t="shared" ref="AZ347:AZ362" si="57">SUM(AN347:AY347)-AW347</f>
        <v>0</v>
      </c>
      <c r="BA347" s="141"/>
      <c r="IH347" s="142"/>
      <c r="II347" s="142"/>
      <c r="IJ347" s="142"/>
      <c r="IK347" s="142"/>
      <c r="IL347" s="142"/>
      <c r="IM347" s="142"/>
      <c r="IN347" s="142"/>
    </row>
    <row r="348" s="135" customFormat="1" ht="12.95" customHeight="1" spans="1:248">
      <c r="A348" s="15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  <c r="AA348" s="184"/>
      <c r="AB348" s="184"/>
      <c r="AC348" s="184"/>
      <c r="AD348" s="184"/>
      <c r="AE348" s="184"/>
      <c r="AF348" s="160"/>
      <c r="AG348" s="160"/>
      <c r="AH348" s="160"/>
      <c r="AI348" s="160"/>
      <c r="AJ348" s="160"/>
      <c r="AK348" s="160"/>
      <c r="AL348" s="184"/>
      <c r="AM348" s="1"/>
      <c r="AN348" s="168">
        <f t="shared" si="45"/>
        <v>0</v>
      </c>
      <c r="AO348" s="168">
        <f t="shared" si="46"/>
        <v>0</v>
      </c>
      <c r="AP348" s="168">
        <f t="shared" si="47"/>
        <v>0</v>
      </c>
      <c r="AQ348" s="168">
        <f t="shared" si="48"/>
        <v>0</v>
      </c>
      <c r="AR348" s="168">
        <f t="shared" si="49"/>
        <v>0</v>
      </c>
      <c r="AS348" s="168">
        <f t="shared" si="50"/>
        <v>0</v>
      </c>
      <c r="AT348" s="168">
        <f t="shared" si="51"/>
        <v>0</v>
      </c>
      <c r="AU348" s="168">
        <f t="shared" si="52"/>
        <v>0</v>
      </c>
      <c r="AV348" s="168">
        <f t="shared" si="53"/>
        <v>0</v>
      </c>
      <c r="AW348" s="168">
        <f t="shared" si="54"/>
        <v>0</v>
      </c>
      <c r="AX348" s="168">
        <f t="shared" si="55"/>
        <v>0</v>
      </c>
      <c r="AY348" s="168">
        <f t="shared" si="56"/>
        <v>0</v>
      </c>
      <c r="AZ348" s="168">
        <f t="shared" si="57"/>
        <v>0</v>
      </c>
      <c r="BA348" s="141"/>
      <c r="IH348" s="142"/>
      <c r="II348" s="142"/>
      <c r="IJ348" s="142"/>
      <c r="IK348" s="142"/>
      <c r="IL348" s="142"/>
      <c r="IM348" s="142"/>
      <c r="IN348" s="142"/>
    </row>
    <row r="349" s="135" customFormat="1" ht="12.95" customHeight="1" spans="1:248">
      <c r="A349" s="15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  <c r="AA349" s="184"/>
      <c r="AB349" s="184"/>
      <c r="AC349" s="184"/>
      <c r="AD349" s="184"/>
      <c r="AE349" s="184"/>
      <c r="AF349" s="160"/>
      <c r="AG349" s="160"/>
      <c r="AH349" s="160"/>
      <c r="AI349" s="160"/>
      <c r="AJ349" s="160"/>
      <c r="AK349" s="160"/>
      <c r="AL349" s="184"/>
      <c r="AM349" s="1"/>
      <c r="AN349" s="168">
        <f t="shared" si="45"/>
        <v>0</v>
      </c>
      <c r="AO349" s="168">
        <f t="shared" si="46"/>
        <v>0</v>
      </c>
      <c r="AP349" s="168">
        <f t="shared" si="47"/>
        <v>0</v>
      </c>
      <c r="AQ349" s="168">
        <f t="shared" si="48"/>
        <v>0</v>
      </c>
      <c r="AR349" s="168">
        <f t="shared" si="49"/>
        <v>0</v>
      </c>
      <c r="AS349" s="168">
        <f t="shared" si="50"/>
        <v>0</v>
      </c>
      <c r="AT349" s="168">
        <f t="shared" si="51"/>
        <v>0</v>
      </c>
      <c r="AU349" s="168">
        <f t="shared" si="52"/>
        <v>0</v>
      </c>
      <c r="AV349" s="168">
        <f t="shared" si="53"/>
        <v>0</v>
      </c>
      <c r="AW349" s="168">
        <f t="shared" si="54"/>
        <v>0</v>
      </c>
      <c r="AX349" s="168">
        <f t="shared" si="55"/>
        <v>0</v>
      </c>
      <c r="AY349" s="168">
        <f t="shared" si="56"/>
        <v>0</v>
      </c>
      <c r="AZ349" s="168">
        <f t="shared" si="57"/>
        <v>0</v>
      </c>
      <c r="BA349" s="141"/>
      <c r="IH349" s="142"/>
      <c r="II349" s="142"/>
      <c r="IJ349" s="142"/>
      <c r="IK349" s="142"/>
      <c r="IL349" s="142"/>
      <c r="IM349" s="142"/>
      <c r="IN349" s="142"/>
    </row>
    <row r="350" s="135" customFormat="1" ht="12.95" customHeight="1" spans="1:248">
      <c r="A350" s="15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  <c r="AA350" s="184"/>
      <c r="AB350" s="184"/>
      <c r="AC350" s="184"/>
      <c r="AD350" s="184"/>
      <c r="AE350" s="184"/>
      <c r="AF350" s="160"/>
      <c r="AG350" s="160"/>
      <c r="AH350" s="160"/>
      <c r="AI350" s="160"/>
      <c r="AJ350" s="160"/>
      <c r="AK350" s="160"/>
      <c r="AL350" s="184"/>
      <c r="AM350" s="1"/>
      <c r="AN350" s="168">
        <f t="shared" si="45"/>
        <v>0</v>
      </c>
      <c r="AO350" s="168">
        <f t="shared" si="46"/>
        <v>0</v>
      </c>
      <c r="AP350" s="168">
        <f t="shared" si="47"/>
        <v>0</v>
      </c>
      <c r="AQ350" s="168">
        <f t="shared" si="48"/>
        <v>0</v>
      </c>
      <c r="AR350" s="168">
        <f t="shared" si="49"/>
        <v>0</v>
      </c>
      <c r="AS350" s="168">
        <f t="shared" si="50"/>
        <v>0</v>
      </c>
      <c r="AT350" s="168">
        <f t="shared" si="51"/>
        <v>0</v>
      </c>
      <c r="AU350" s="168">
        <f t="shared" si="52"/>
        <v>0</v>
      </c>
      <c r="AV350" s="168">
        <f t="shared" si="53"/>
        <v>0</v>
      </c>
      <c r="AW350" s="168">
        <f t="shared" si="54"/>
        <v>0</v>
      </c>
      <c r="AX350" s="168">
        <f t="shared" si="55"/>
        <v>0</v>
      </c>
      <c r="AY350" s="168">
        <f t="shared" si="56"/>
        <v>0</v>
      </c>
      <c r="AZ350" s="168">
        <f t="shared" si="57"/>
        <v>0</v>
      </c>
      <c r="BA350" s="141"/>
      <c r="IH350" s="142"/>
      <c r="II350" s="142"/>
      <c r="IJ350" s="142"/>
      <c r="IK350" s="142"/>
      <c r="IL350" s="142"/>
      <c r="IM350" s="142"/>
      <c r="IN350" s="142"/>
    </row>
    <row r="351" s="135" customFormat="1" ht="12.95" customHeight="1" spans="1:248">
      <c r="A351" s="15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  <c r="AA351" s="184"/>
      <c r="AB351" s="184"/>
      <c r="AC351" s="184"/>
      <c r="AD351" s="184"/>
      <c r="AE351" s="184"/>
      <c r="AF351" s="160"/>
      <c r="AG351" s="160"/>
      <c r="AH351" s="160"/>
      <c r="AI351" s="160"/>
      <c r="AJ351" s="160"/>
      <c r="AK351" s="160"/>
      <c r="AL351" s="184"/>
      <c r="AM351" s="1"/>
      <c r="AN351" s="168">
        <f t="shared" si="45"/>
        <v>0</v>
      </c>
      <c r="AO351" s="168">
        <f t="shared" si="46"/>
        <v>0</v>
      </c>
      <c r="AP351" s="168">
        <f t="shared" si="47"/>
        <v>0</v>
      </c>
      <c r="AQ351" s="168">
        <f t="shared" si="48"/>
        <v>0</v>
      </c>
      <c r="AR351" s="168">
        <f t="shared" si="49"/>
        <v>0</v>
      </c>
      <c r="AS351" s="168">
        <f t="shared" si="50"/>
        <v>0</v>
      </c>
      <c r="AT351" s="168">
        <f t="shared" si="51"/>
        <v>0</v>
      </c>
      <c r="AU351" s="168">
        <f t="shared" si="52"/>
        <v>0</v>
      </c>
      <c r="AV351" s="168">
        <f t="shared" si="53"/>
        <v>0</v>
      </c>
      <c r="AW351" s="168">
        <f t="shared" si="54"/>
        <v>0</v>
      </c>
      <c r="AX351" s="168">
        <f t="shared" si="55"/>
        <v>0</v>
      </c>
      <c r="AY351" s="168">
        <f t="shared" si="56"/>
        <v>0</v>
      </c>
      <c r="AZ351" s="168">
        <f t="shared" si="57"/>
        <v>0</v>
      </c>
      <c r="BA351" s="141"/>
      <c r="IH351" s="142"/>
      <c r="II351" s="142"/>
      <c r="IJ351" s="142"/>
      <c r="IK351" s="142"/>
      <c r="IL351" s="142"/>
      <c r="IM351" s="142"/>
      <c r="IN351" s="142"/>
    </row>
    <row r="352" s="135" customFormat="1" ht="12.95" customHeight="1" spans="1:248">
      <c r="A352" s="154"/>
      <c r="B352" s="184"/>
      <c r="C352" s="184"/>
      <c r="D352" s="184"/>
      <c r="E352" s="185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  <c r="AA352" s="184"/>
      <c r="AB352" s="184"/>
      <c r="AC352" s="184"/>
      <c r="AD352" s="184"/>
      <c r="AE352" s="184"/>
      <c r="AF352" s="160"/>
      <c r="AG352" s="160"/>
      <c r="AH352" s="160"/>
      <c r="AI352" s="160"/>
      <c r="AJ352" s="160"/>
      <c r="AK352" s="160"/>
      <c r="AL352" s="184"/>
      <c r="AM352" s="1"/>
      <c r="AN352" s="168">
        <f t="shared" si="45"/>
        <v>0</v>
      </c>
      <c r="AO352" s="168">
        <f t="shared" si="46"/>
        <v>0</v>
      </c>
      <c r="AP352" s="168">
        <f t="shared" si="47"/>
        <v>0</v>
      </c>
      <c r="AQ352" s="168">
        <f t="shared" si="48"/>
        <v>0</v>
      </c>
      <c r="AR352" s="168">
        <f t="shared" si="49"/>
        <v>0</v>
      </c>
      <c r="AS352" s="168">
        <f t="shared" si="50"/>
        <v>0</v>
      </c>
      <c r="AT352" s="168">
        <f t="shared" si="51"/>
        <v>0</v>
      </c>
      <c r="AU352" s="168">
        <f t="shared" si="52"/>
        <v>0</v>
      </c>
      <c r="AV352" s="168">
        <f t="shared" si="53"/>
        <v>0</v>
      </c>
      <c r="AW352" s="168">
        <f t="shared" si="54"/>
        <v>0</v>
      </c>
      <c r="AX352" s="168">
        <f t="shared" si="55"/>
        <v>0</v>
      </c>
      <c r="AY352" s="168">
        <f t="shared" si="56"/>
        <v>0</v>
      </c>
      <c r="AZ352" s="168">
        <f t="shared" si="57"/>
        <v>0</v>
      </c>
      <c r="BA352" s="141"/>
      <c r="IH352" s="142"/>
      <c r="II352" s="142"/>
      <c r="IJ352" s="142"/>
      <c r="IK352" s="142"/>
      <c r="IL352" s="142"/>
      <c r="IM352" s="142"/>
      <c r="IN352" s="142"/>
    </row>
    <row r="353" s="135" customFormat="1" ht="12.95" customHeight="1" spans="1:248">
      <c r="A353" s="15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  <c r="AA353" s="184"/>
      <c r="AB353" s="184"/>
      <c r="AC353" s="184"/>
      <c r="AD353" s="184"/>
      <c r="AE353" s="184"/>
      <c r="AF353" s="160"/>
      <c r="AG353" s="160"/>
      <c r="AH353" s="160"/>
      <c r="AI353" s="160"/>
      <c r="AJ353" s="160"/>
      <c r="AK353" s="160"/>
      <c r="AL353" s="184"/>
      <c r="AM353" s="1"/>
      <c r="AN353" s="168">
        <f t="shared" si="45"/>
        <v>0</v>
      </c>
      <c r="AO353" s="168">
        <f t="shared" si="46"/>
        <v>0</v>
      </c>
      <c r="AP353" s="168">
        <f t="shared" si="47"/>
        <v>0</v>
      </c>
      <c r="AQ353" s="168">
        <f t="shared" si="48"/>
        <v>0</v>
      </c>
      <c r="AR353" s="168">
        <f t="shared" si="49"/>
        <v>0</v>
      </c>
      <c r="AS353" s="168">
        <f t="shared" si="50"/>
        <v>0</v>
      </c>
      <c r="AT353" s="168">
        <f t="shared" si="51"/>
        <v>0</v>
      </c>
      <c r="AU353" s="168">
        <f t="shared" si="52"/>
        <v>0</v>
      </c>
      <c r="AV353" s="168">
        <f t="shared" si="53"/>
        <v>0</v>
      </c>
      <c r="AW353" s="168">
        <f t="shared" si="54"/>
        <v>0</v>
      </c>
      <c r="AX353" s="168">
        <f t="shared" si="55"/>
        <v>0</v>
      </c>
      <c r="AY353" s="168">
        <f t="shared" si="56"/>
        <v>0</v>
      </c>
      <c r="AZ353" s="168">
        <f t="shared" si="57"/>
        <v>0</v>
      </c>
      <c r="BA353" s="141"/>
      <c r="IH353" s="142"/>
      <c r="II353" s="142"/>
      <c r="IJ353" s="142"/>
      <c r="IK353" s="142"/>
      <c r="IL353" s="142"/>
      <c r="IM353" s="142"/>
      <c r="IN353" s="142"/>
    </row>
    <row r="354" s="135" customFormat="1" ht="12.95" customHeight="1" spans="1:248">
      <c r="A354" s="15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  <c r="AA354" s="184"/>
      <c r="AB354" s="184"/>
      <c r="AC354" s="184"/>
      <c r="AD354" s="184"/>
      <c r="AE354" s="184"/>
      <c r="AF354" s="160"/>
      <c r="AG354" s="160"/>
      <c r="AH354" s="160"/>
      <c r="AI354" s="160"/>
      <c r="AJ354" s="160"/>
      <c r="AK354" s="160"/>
      <c r="AL354" s="184"/>
      <c r="AM354" s="1"/>
      <c r="AN354" s="168">
        <f t="shared" si="45"/>
        <v>0</v>
      </c>
      <c r="AO354" s="168">
        <f t="shared" si="46"/>
        <v>0</v>
      </c>
      <c r="AP354" s="168">
        <f t="shared" si="47"/>
        <v>0</v>
      </c>
      <c r="AQ354" s="168">
        <f t="shared" si="48"/>
        <v>0</v>
      </c>
      <c r="AR354" s="168">
        <f t="shared" si="49"/>
        <v>0</v>
      </c>
      <c r="AS354" s="168">
        <f t="shared" si="50"/>
        <v>0</v>
      </c>
      <c r="AT354" s="168">
        <f t="shared" si="51"/>
        <v>0</v>
      </c>
      <c r="AU354" s="168">
        <f t="shared" si="52"/>
        <v>0</v>
      </c>
      <c r="AV354" s="168">
        <f t="shared" si="53"/>
        <v>0</v>
      </c>
      <c r="AW354" s="168">
        <f t="shared" si="54"/>
        <v>0</v>
      </c>
      <c r="AX354" s="168">
        <f t="shared" si="55"/>
        <v>0</v>
      </c>
      <c r="AY354" s="168">
        <f t="shared" si="56"/>
        <v>0</v>
      </c>
      <c r="AZ354" s="168">
        <f t="shared" si="57"/>
        <v>0</v>
      </c>
      <c r="BA354" s="141"/>
      <c r="IH354" s="142"/>
      <c r="II354" s="142"/>
      <c r="IJ354" s="142"/>
      <c r="IK354" s="142"/>
      <c r="IL354" s="142"/>
      <c r="IM354" s="142"/>
      <c r="IN354" s="142"/>
    </row>
    <row r="355" s="135" customFormat="1" ht="12.95" customHeight="1" spans="1:248">
      <c r="A355" s="15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  <c r="AA355" s="184"/>
      <c r="AB355" s="184"/>
      <c r="AC355" s="184"/>
      <c r="AD355" s="184"/>
      <c r="AE355" s="184"/>
      <c r="AF355" s="160"/>
      <c r="AG355" s="160"/>
      <c r="AH355" s="160"/>
      <c r="AI355" s="160"/>
      <c r="AJ355" s="160"/>
      <c r="AK355" s="160"/>
      <c r="AL355" s="184"/>
      <c r="AM355" s="1"/>
      <c r="AN355" s="168">
        <f t="shared" si="45"/>
        <v>0</v>
      </c>
      <c r="AO355" s="168">
        <f t="shared" si="46"/>
        <v>0</v>
      </c>
      <c r="AP355" s="168">
        <f t="shared" si="47"/>
        <v>0</v>
      </c>
      <c r="AQ355" s="168">
        <f t="shared" si="48"/>
        <v>0</v>
      </c>
      <c r="AR355" s="168">
        <f t="shared" si="49"/>
        <v>0</v>
      </c>
      <c r="AS355" s="168">
        <f t="shared" si="50"/>
        <v>0</v>
      </c>
      <c r="AT355" s="168">
        <f t="shared" si="51"/>
        <v>0</v>
      </c>
      <c r="AU355" s="168">
        <f t="shared" si="52"/>
        <v>0</v>
      </c>
      <c r="AV355" s="168">
        <f t="shared" si="53"/>
        <v>0</v>
      </c>
      <c r="AW355" s="168">
        <f t="shared" si="54"/>
        <v>0</v>
      </c>
      <c r="AX355" s="168">
        <f t="shared" si="55"/>
        <v>0</v>
      </c>
      <c r="AY355" s="168">
        <f t="shared" si="56"/>
        <v>0</v>
      </c>
      <c r="AZ355" s="168">
        <f t="shared" si="57"/>
        <v>0</v>
      </c>
      <c r="BA355" s="141"/>
      <c r="IH355" s="142"/>
      <c r="II355" s="142"/>
      <c r="IJ355" s="142"/>
      <c r="IK355" s="142"/>
      <c r="IL355" s="142"/>
      <c r="IM355" s="142"/>
      <c r="IN355" s="142"/>
    </row>
    <row r="356" s="135" customFormat="1" ht="12.95" customHeight="1" spans="1:248">
      <c r="A356" s="15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  <c r="AA356" s="184"/>
      <c r="AB356" s="184"/>
      <c r="AC356" s="184"/>
      <c r="AD356" s="184"/>
      <c r="AE356" s="184"/>
      <c r="AF356" s="160"/>
      <c r="AG356" s="160"/>
      <c r="AH356" s="160"/>
      <c r="AI356" s="160"/>
      <c r="AJ356" s="160"/>
      <c r="AK356" s="160"/>
      <c r="AL356" s="184"/>
      <c r="AM356" s="1"/>
      <c r="AN356" s="168">
        <f t="shared" si="45"/>
        <v>0</v>
      </c>
      <c r="AO356" s="168">
        <f t="shared" si="46"/>
        <v>0</v>
      </c>
      <c r="AP356" s="168">
        <f t="shared" si="47"/>
        <v>0</v>
      </c>
      <c r="AQ356" s="168">
        <f t="shared" si="48"/>
        <v>0</v>
      </c>
      <c r="AR356" s="168">
        <f t="shared" si="49"/>
        <v>0</v>
      </c>
      <c r="AS356" s="168">
        <f t="shared" si="50"/>
        <v>0</v>
      </c>
      <c r="AT356" s="168">
        <f t="shared" si="51"/>
        <v>0</v>
      </c>
      <c r="AU356" s="168">
        <f t="shared" si="52"/>
        <v>0</v>
      </c>
      <c r="AV356" s="168">
        <f t="shared" si="53"/>
        <v>0</v>
      </c>
      <c r="AW356" s="168">
        <f t="shared" si="54"/>
        <v>0</v>
      </c>
      <c r="AX356" s="168">
        <f t="shared" si="55"/>
        <v>0</v>
      </c>
      <c r="AY356" s="168">
        <f t="shared" si="56"/>
        <v>0</v>
      </c>
      <c r="AZ356" s="168">
        <f t="shared" si="57"/>
        <v>0</v>
      </c>
      <c r="BA356" s="141"/>
      <c r="IH356" s="142"/>
      <c r="II356" s="142"/>
      <c r="IJ356" s="142"/>
      <c r="IK356" s="142"/>
      <c r="IL356" s="142"/>
      <c r="IM356" s="142"/>
      <c r="IN356" s="142"/>
    </row>
    <row r="357" s="135" customFormat="1" ht="12.95" customHeight="1" spans="1:248">
      <c r="A357" s="154"/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  <c r="AA357" s="184"/>
      <c r="AB357" s="184"/>
      <c r="AC357" s="184"/>
      <c r="AD357" s="184"/>
      <c r="AE357" s="184"/>
      <c r="AF357" s="160"/>
      <c r="AG357" s="160"/>
      <c r="AH357" s="160"/>
      <c r="AI357" s="160"/>
      <c r="AJ357" s="160"/>
      <c r="AK357" s="160"/>
      <c r="AL357" s="184"/>
      <c r="AM357" s="1"/>
      <c r="AN357" s="168">
        <f t="shared" si="45"/>
        <v>0</v>
      </c>
      <c r="AO357" s="168">
        <f t="shared" si="46"/>
        <v>0</v>
      </c>
      <c r="AP357" s="168">
        <f t="shared" si="47"/>
        <v>0</v>
      </c>
      <c r="AQ357" s="168">
        <f t="shared" si="48"/>
        <v>0</v>
      </c>
      <c r="AR357" s="168">
        <f t="shared" si="49"/>
        <v>0</v>
      </c>
      <c r="AS357" s="168">
        <f t="shared" si="50"/>
        <v>0</v>
      </c>
      <c r="AT357" s="168">
        <f t="shared" si="51"/>
        <v>0</v>
      </c>
      <c r="AU357" s="168">
        <f t="shared" si="52"/>
        <v>0</v>
      </c>
      <c r="AV357" s="168">
        <f t="shared" si="53"/>
        <v>0</v>
      </c>
      <c r="AW357" s="168">
        <f t="shared" si="54"/>
        <v>0</v>
      </c>
      <c r="AX357" s="168">
        <f t="shared" si="55"/>
        <v>0</v>
      </c>
      <c r="AY357" s="168">
        <f t="shared" si="56"/>
        <v>0</v>
      </c>
      <c r="AZ357" s="168">
        <f t="shared" si="57"/>
        <v>0</v>
      </c>
      <c r="BA357" s="141"/>
      <c r="IH357" s="142"/>
      <c r="II357" s="142"/>
      <c r="IJ357" s="142"/>
      <c r="IK357" s="142"/>
      <c r="IL357" s="142"/>
      <c r="IM357" s="142"/>
      <c r="IN357" s="142"/>
    </row>
    <row r="358" s="135" customFormat="1" ht="12.95" customHeight="1" spans="1:248">
      <c r="A358" s="154"/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  <c r="AA358" s="184"/>
      <c r="AB358" s="184"/>
      <c r="AC358" s="184"/>
      <c r="AD358" s="184"/>
      <c r="AE358" s="184"/>
      <c r="AF358" s="160"/>
      <c r="AG358" s="160"/>
      <c r="AH358" s="160"/>
      <c r="AI358" s="160"/>
      <c r="AJ358" s="160"/>
      <c r="AK358" s="160"/>
      <c r="AL358" s="184"/>
      <c r="AM358" s="1"/>
      <c r="AN358" s="168">
        <f t="shared" si="45"/>
        <v>0</v>
      </c>
      <c r="AO358" s="168">
        <f t="shared" si="46"/>
        <v>0</v>
      </c>
      <c r="AP358" s="168">
        <f t="shared" si="47"/>
        <v>0</v>
      </c>
      <c r="AQ358" s="168">
        <f t="shared" si="48"/>
        <v>0</v>
      </c>
      <c r="AR358" s="168">
        <f t="shared" si="49"/>
        <v>0</v>
      </c>
      <c r="AS358" s="168">
        <f t="shared" si="50"/>
        <v>0</v>
      </c>
      <c r="AT358" s="168">
        <f t="shared" si="51"/>
        <v>0</v>
      </c>
      <c r="AU358" s="168">
        <f t="shared" si="52"/>
        <v>0</v>
      </c>
      <c r="AV358" s="168">
        <f t="shared" si="53"/>
        <v>0</v>
      </c>
      <c r="AW358" s="168">
        <f t="shared" si="54"/>
        <v>0</v>
      </c>
      <c r="AX358" s="168">
        <f t="shared" si="55"/>
        <v>0</v>
      </c>
      <c r="AY358" s="168">
        <f t="shared" si="56"/>
        <v>0</v>
      </c>
      <c r="AZ358" s="168">
        <f t="shared" si="57"/>
        <v>0</v>
      </c>
      <c r="BA358" s="141"/>
      <c r="IH358" s="142"/>
      <c r="II358" s="142"/>
      <c r="IJ358" s="142"/>
      <c r="IK358" s="142"/>
      <c r="IL358" s="142"/>
      <c r="IM358" s="142"/>
      <c r="IN358" s="142"/>
    </row>
    <row r="359" s="135" customFormat="1" ht="12.95" customHeight="1" spans="1:248">
      <c r="A359" s="154"/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  <c r="AA359" s="184"/>
      <c r="AB359" s="184"/>
      <c r="AC359" s="184"/>
      <c r="AD359" s="184"/>
      <c r="AE359" s="184"/>
      <c r="AF359" s="160"/>
      <c r="AG359" s="160"/>
      <c r="AH359" s="160"/>
      <c r="AI359" s="160"/>
      <c r="AJ359" s="160"/>
      <c r="AK359" s="160"/>
      <c r="AL359" s="184"/>
      <c r="AM359" s="1"/>
      <c r="AN359" s="168">
        <f t="shared" si="45"/>
        <v>0</v>
      </c>
      <c r="AO359" s="168">
        <f t="shared" si="46"/>
        <v>0</v>
      </c>
      <c r="AP359" s="168">
        <f t="shared" si="47"/>
        <v>0</v>
      </c>
      <c r="AQ359" s="168">
        <f t="shared" si="48"/>
        <v>0</v>
      </c>
      <c r="AR359" s="168">
        <f t="shared" si="49"/>
        <v>0</v>
      </c>
      <c r="AS359" s="168">
        <f t="shared" si="50"/>
        <v>0</v>
      </c>
      <c r="AT359" s="168">
        <f t="shared" si="51"/>
        <v>0</v>
      </c>
      <c r="AU359" s="168">
        <f t="shared" si="52"/>
        <v>0</v>
      </c>
      <c r="AV359" s="168">
        <f t="shared" si="53"/>
        <v>0</v>
      </c>
      <c r="AW359" s="168">
        <f t="shared" si="54"/>
        <v>0</v>
      </c>
      <c r="AX359" s="168">
        <f t="shared" si="55"/>
        <v>0</v>
      </c>
      <c r="AY359" s="168">
        <f t="shared" si="56"/>
        <v>0</v>
      </c>
      <c r="AZ359" s="168">
        <f t="shared" si="57"/>
        <v>0</v>
      </c>
      <c r="BA359" s="141"/>
      <c r="IH359" s="142"/>
      <c r="II359" s="142"/>
      <c r="IJ359" s="142"/>
      <c r="IK359" s="142"/>
      <c r="IL359" s="142"/>
      <c r="IM359" s="142"/>
      <c r="IN359" s="142"/>
    </row>
    <row r="360" s="135" customFormat="1" ht="12.95" customHeight="1" spans="1:248">
      <c r="A360" s="154"/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  <c r="AA360" s="184"/>
      <c r="AB360" s="184"/>
      <c r="AC360" s="184"/>
      <c r="AD360" s="184"/>
      <c r="AE360" s="184"/>
      <c r="AF360" s="160"/>
      <c r="AG360" s="160"/>
      <c r="AH360" s="160"/>
      <c r="AI360" s="160"/>
      <c r="AJ360" s="160"/>
      <c r="AK360" s="160"/>
      <c r="AL360" s="184"/>
      <c r="AM360" s="1"/>
      <c r="AN360" s="168">
        <f t="shared" si="45"/>
        <v>0</v>
      </c>
      <c r="AO360" s="168">
        <f t="shared" si="46"/>
        <v>0</v>
      </c>
      <c r="AP360" s="168">
        <f t="shared" si="47"/>
        <v>0</v>
      </c>
      <c r="AQ360" s="168">
        <f t="shared" si="48"/>
        <v>0</v>
      </c>
      <c r="AR360" s="168">
        <f t="shared" si="49"/>
        <v>0</v>
      </c>
      <c r="AS360" s="168">
        <f t="shared" si="50"/>
        <v>0</v>
      </c>
      <c r="AT360" s="168">
        <f t="shared" si="51"/>
        <v>0</v>
      </c>
      <c r="AU360" s="168">
        <f t="shared" si="52"/>
        <v>0</v>
      </c>
      <c r="AV360" s="168">
        <f t="shared" si="53"/>
        <v>0</v>
      </c>
      <c r="AW360" s="168">
        <f t="shared" si="54"/>
        <v>0</v>
      </c>
      <c r="AX360" s="168">
        <f t="shared" si="55"/>
        <v>0</v>
      </c>
      <c r="AY360" s="168">
        <f t="shared" si="56"/>
        <v>0</v>
      </c>
      <c r="AZ360" s="168">
        <f t="shared" si="57"/>
        <v>0</v>
      </c>
      <c r="BA360" s="141"/>
      <c r="IH360" s="142"/>
      <c r="II360" s="142"/>
      <c r="IJ360" s="142"/>
      <c r="IK360" s="142"/>
      <c r="IL360" s="142"/>
      <c r="IM360" s="142"/>
      <c r="IN360" s="142"/>
    </row>
    <row r="361" s="135" customFormat="1" ht="12.95" customHeight="1" spans="1:248">
      <c r="A361" s="154"/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  <c r="AA361" s="184"/>
      <c r="AB361" s="184"/>
      <c r="AC361" s="184"/>
      <c r="AD361" s="184"/>
      <c r="AE361" s="184"/>
      <c r="AF361" s="160"/>
      <c r="AG361" s="160"/>
      <c r="AH361" s="160"/>
      <c r="AI361" s="160"/>
      <c r="AJ361" s="160"/>
      <c r="AK361" s="160"/>
      <c r="AL361" s="184"/>
      <c r="AM361" s="1"/>
      <c r="AN361" s="168">
        <f t="shared" si="45"/>
        <v>0</v>
      </c>
      <c r="AO361" s="168">
        <f t="shared" si="46"/>
        <v>0</v>
      </c>
      <c r="AP361" s="168">
        <f t="shared" si="47"/>
        <v>0</v>
      </c>
      <c r="AQ361" s="168">
        <f t="shared" si="48"/>
        <v>0</v>
      </c>
      <c r="AR361" s="168">
        <f t="shared" si="49"/>
        <v>0</v>
      </c>
      <c r="AS361" s="168">
        <f t="shared" si="50"/>
        <v>0</v>
      </c>
      <c r="AT361" s="168">
        <f t="shared" si="51"/>
        <v>0</v>
      </c>
      <c r="AU361" s="168">
        <f t="shared" si="52"/>
        <v>0</v>
      </c>
      <c r="AV361" s="168">
        <f t="shared" si="53"/>
        <v>0</v>
      </c>
      <c r="AW361" s="168">
        <f t="shared" si="54"/>
        <v>0</v>
      </c>
      <c r="AX361" s="168">
        <f t="shared" si="55"/>
        <v>0</v>
      </c>
      <c r="AY361" s="168">
        <f t="shared" si="56"/>
        <v>0</v>
      </c>
      <c r="AZ361" s="168">
        <f t="shared" si="57"/>
        <v>0</v>
      </c>
      <c r="BA361" s="141"/>
      <c r="IH361" s="142"/>
      <c r="II361" s="142"/>
      <c r="IJ361" s="142"/>
      <c r="IK361" s="142"/>
      <c r="IL361" s="142"/>
      <c r="IM361" s="142"/>
      <c r="IN361" s="142"/>
    </row>
    <row r="362" s="135" customFormat="1" ht="12.95" customHeight="1" spans="1:248">
      <c r="A362" s="154"/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  <c r="AA362" s="184"/>
      <c r="AB362" s="184"/>
      <c r="AC362" s="184"/>
      <c r="AD362" s="184"/>
      <c r="AE362" s="184"/>
      <c r="AF362" s="160"/>
      <c r="AG362" s="160"/>
      <c r="AH362" s="160"/>
      <c r="AI362" s="160"/>
      <c r="AJ362" s="160"/>
      <c r="AK362" s="160"/>
      <c r="AL362" s="184"/>
      <c r="AM362" s="1"/>
      <c r="AN362" s="168">
        <f t="shared" si="45"/>
        <v>0</v>
      </c>
      <c r="AO362" s="168">
        <f t="shared" si="46"/>
        <v>0</v>
      </c>
      <c r="AP362" s="168">
        <f t="shared" si="47"/>
        <v>0</v>
      </c>
      <c r="AQ362" s="168">
        <f t="shared" si="48"/>
        <v>0</v>
      </c>
      <c r="AR362" s="168">
        <f t="shared" si="49"/>
        <v>0</v>
      </c>
      <c r="AS362" s="168">
        <f t="shared" si="50"/>
        <v>0</v>
      </c>
      <c r="AT362" s="168">
        <f t="shared" si="51"/>
        <v>0</v>
      </c>
      <c r="AU362" s="168">
        <f t="shared" si="52"/>
        <v>0</v>
      </c>
      <c r="AV362" s="168">
        <f t="shared" si="53"/>
        <v>0</v>
      </c>
      <c r="AW362" s="168">
        <f t="shared" si="54"/>
        <v>0</v>
      </c>
      <c r="AX362" s="168">
        <f t="shared" si="55"/>
        <v>0</v>
      </c>
      <c r="AY362" s="168">
        <f t="shared" si="56"/>
        <v>0</v>
      </c>
      <c r="AZ362" s="168">
        <f t="shared" si="57"/>
        <v>0</v>
      </c>
      <c r="BA362" s="141"/>
      <c r="IH362" s="142"/>
      <c r="II362" s="142"/>
      <c r="IJ362" s="142"/>
      <c r="IK362" s="142"/>
      <c r="IL362" s="142"/>
      <c r="IM362" s="142"/>
      <c r="IN362" s="142"/>
    </row>
    <row r="363" s="135" customFormat="1" ht="12.95" customHeight="1" spans="1:248">
      <c r="A363" s="154"/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  <c r="AA363" s="184"/>
      <c r="AB363" s="184"/>
      <c r="AC363" s="184"/>
      <c r="AD363" s="184"/>
      <c r="AE363" s="184"/>
      <c r="AF363" s="160"/>
      <c r="AG363" s="160"/>
      <c r="AH363" s="160"/>
      <c r="AI363" s="160"/>
      <c r="AJ363" s="160"/>
      <c r="AK363" s="160"/>
      <c r="AL363" s="184"/>
      <c r="AM363" s="1"/>
      <c r="AN363" s="168">
        <f t="shared" ref="AN363:AN426" si="58">COUNTIF(G363:AK363,"病")</f>
        <v>0</v>
      </c>
      <c r="AO363" s="168">
        <f t="shared" ref="AO363:AO426" si="59">COUNTIF(G363:AK363,"事")</f>
        <v>0</v>
      </c>
      <c r="AP363" s="168">
        <f t="shared" ref="AP363:AP426" si="60">COUNTIF(G363:AK363,"探")</f>
        <v>0</v>
      </c>
      <c r="AQ363" s="168">
        <f t="shared" ref="AQ363:AQ426" si="61">COUNTIF(G363:AK363,"年")</f>
        <v>0</v>
      </c>
      <c r="AR363" s="168">
        <f t="shared" ref="AR363:AR426" si="62">COUNTIF(G363:AK363,"婚")+COUNTIF(G363:AK363,"丧")</f>
        <v>0</v>
      </c>
      <c r="AS363" s="168">
        <f t="shared" ref="AS363:AS426" si="63">COUNTIF(G363:AK363,"伤")</f>
        <v>0</v>
      </c>
      <c r="AT363" s="168">
        <f t="shared" ref="AT363:AT426" si="64">COUNTIF(G363:AK363,"护")</f>
        <v>0</v>
      </c>
      <c r="AU363" s="168">
        <f t="shared" ref="AU363:AU426" si="65">COUNTIF(G363:AK363,"旷")</f>
        <v>0</v>
      </c>
      <c r="AV363" s="168">
        <f t="shared" ref="AV363:AV426" si="66">COUNTIF(G363:AK363,"拘")</f>
        <v>0</v>
      </c>
      <c r="AW363" s="168">
        <f t="shared" ref="AW363:AW426" si="67">COUNTIF(G363:AK363,"疗")</f>
        <v>0</v>
      </c>
      <c r="AX363" s="168">
        <f t="shared" ref="AX363:AX426" si="68">COUNTIF(G363:AK363,"育")</f>
        <v>0</v>
      </c>
      <c r="AY363" s="168">
        <f t="shared" ref="AY363:AY426" si="69">COUNTIF(G363:AK363,"陪")</f>
        <v>0</v>
      </c>
      <c r="AZ363" s="168">
        <f t="shared" ref="AZ363:AZ426" si="70">SUM(AN363:AY363)-AW363</f>
        <v>0</v>
      </c>
      <c r="BA363" s="141"/>
      <c r="IH363" s="142"/>
      <c r="II363" s="142"/>
      <c r="IJ363" s="142"/>
      <c r="IK363" s="142"/>
      <c r="IL363" s="142"/>
      <c r="IM363" s="142"/>
      <c r="IN363" s="142"/>
    </row>
    <row r="364" s="135" customFormat="1" ht="12.95" customHeight="1" spans="1:248">
      <c r="A364" s="154"/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  <c r="AA364" s="184"/>
      <c r="AB364" s="184"/>
      <c r="AC364" s="184"/>
      <c r="AD364" s="184"/>
      <c r="AE364" s="184"/>
      <c r="AF364" s="160"/>
      <c r="AG364" s="160"/>
      <c r="AH364" s="160"/>
      <c r="AI364" s="160"/>
      <c r="AJ364" s="160"/>
      <c r="AK364" s="160"/>
      <c r="AL364" s="184"/>
      <c r="AM364" s="1"/>
      <c r="AN364" s="168">
        <f t="shared" si="58"/>
        <v>0</v>
      </c>
      <c r="AO364" s="168">
        <f t="shared" si="59"/>
        <v>0</v>
      </c>
      <c r="AP364" s="168">
        <f t="shared" si="60"/>
        <v>0</v>
      </c>
      <c r="AQ364" s="168">
        <f t="shared" si="61"/>
        <v>0</v>
      </c>
      <c r="AR364" s="168">
        <f t="shared" si="62"/>
        <v>0</v>
      </c>
      <c r="AS364" s="168">
        <f t="shared" si="63"/>
        <v>0</v>
      </c>
      <c r="AT364" s="168">
        <f t="shared" si="64"/>
        <v>0</v>
      </c>
      <c r="AU364" s="168">
        <f t="shared" si="65"/>
        <v>0</v>
      </c>
      <c r="AV364" s="168">
        <f t="shared" si="66"/>
        <v>0</v>
      </c>
      <c r="AW364" s="168">
        <f t="shared" si="67"/>
        <v>0</v>
      </c>
      <c r="AX364" s="168">
        <f t="shared" si="68"/>
        <v>0</v>
      </c>
      <c r="AY364" s="168">
        <f t="shared" si="69"/>
        <v>0</v>
      </c>
      <c r="AZ364" s="168">
        <f t="shared" si="70"/>
        <v>0</v>
      </c>
      <c r="BA364" s="141"/>
      <c r="IH364" s="142"/>
      <c r="II364" s="142"/>
      <c r="IJ364" s="142"/>
      <c r="IK364" s="142"/>
      <c r="IL364" s="142"/>
      <c r="IM364" s="142"/>
      <c r="IN364" s="142"/>
    </row>
    <row r="365" s="135" customFormat="1" ht="12.95" customHeight="1" spans="1:248">
      <c r="A365" s="154"/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  <c r="AA365" s="184"/>
      <c r="AB365" s="184"/>
      <c r="AC365" s="184"/>
      <c r="AD365" s="184"/>
      <c r="AE365" s="184"/>
      <c r="AF365" s="160"/>
      <c r="AG365" s="160"/>
      <c r="AH365" s="160"/>
      <c r="AI365" s="160"/>
      <c r="AJ365" s="160"/>
      <c r="AK365" s="160"/>
      <c r="AL365" s="184"/>
      <c r="AM365" s="1"/>
      <c r="AN365" s="168">
        <f t="shared" si="58"/>
        <v>0</v>
      </c>
      <c r="AO365" s="168">
        <f t="shared" si="59"/>
        <v>0</v>
      </c>
      <c r="AP365" s="168">
        <f t="shared" si="60"/>
        <v>0</v>
      </c>
      <c r="AQ365" s="168">
        <f t="shared" si="61"/>
        <v>0</v>
      </c>
      <c r="AR365" s="168">
        <f t="shared" si="62"/>
        <v>0</v>
      </c>
      <c r="AS365" s="168">
        <f t="shared" si="63"/>
        <v>0</v>
      </c>
      <c r="AT365" s="168">
        <f t="shared" si="64"/>
        <v>0</v>
      </c>
      <c r="AU365" s="168">
        <f t="shared" si="65"/>
        <v>0</v>
      </c>
      <c r="AV365" s="168">
        <f t="shared" si="66"/>
        <v>0</v>
      </c>
      <c r="AW365" s="168">
        <f t="shared" si="67"/>
        <v>0</v>
      </c>
      <c r="AX365" s="168">
        <f t="shared" si="68"/>
        <v>0</v>
      </c>
      <c r="AY365" s="168">
        <f t="shared" si="69"/>
        <v>0</v>
      </c>
      <c r="AZ365" s="168">
        <f t="shared" si="70"/>
        <v>0</v>
      </c>
      <c r="BA365" s="141"/>
      <c r="IH365" s="142"/>
      <c r="II365" s="142"/>
      <c r="IJ365" s="142"/>
      <c r="IK365" s="142"/>
      <c r="IL365" s="142"/>
      <c r="IM365" s="142"/>
      <c r="IN365" s="142"/>
    </row>
    <row r="366" s="135" customFormat="1" ht="12.95" customHeight="1" spans="1:248">
      <c r="A366" s="154"/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  <c r="AA366" s="184"/>
      <c r="AB366" s="184"/>
      <c r="AC366" s="184"/>
      <c r="AD366" s="184"/>
      <c r="AE366" s="184"/>
      <c r="AF366" s="160"/>
      <c r="AG366" s="160"/>
      <c r="AH366" s="160"/>
      <c r="AI366" s="160"/>
      <c r="AJ366" s="160"/>
      <c r="AK366" s="160"/>
      <c r="AL366" s="184"/>
      <c r="AM366" s="1"/>
      <c r="AN366" s="168">
        <f t="shared" si="58"/>
        <v>0</v>
      </c>
      <c r="AO366" s="168">
        <f t="shared" si="59"/>
        <v>0</v>
      </c>
      <c r="AP366" s="168">
        <f t="shared" si="60"/>
        <v>0</v>
      </c>
      <c r="AQ366" s="168">
        <f t="shared" si="61"/>
        <v>0</v>
      </c>
      <c r="AR366" s="168">
        <f t="shared" si="62"/>
        <v>0</v>
      </c>
      <c r="AS366" s="168">
        <f t="shared" si="63"/>
        <v>0</v>
      </c>
      <c r="AT366" s="168">
        <f t="shared" si="64"/>
        <v>0</v>
      </c>
      <c r="AU366" s="168">
        <f t="shared" si="65"/>
        <v>0</v>
      </c>
      <c r="AV366" s="168">
        <f t="shared" si="66"/>
        <v>0</v>
      </c>
      <c r="AW366" s="168">
        <f t="shared" si="67"/>
        <v>0</v>
      </c>
      <c r="AX366" s="168">
        <f t="shared" si="68"/>
        <v>0</v>
      </c>
      <c r="AY366" s="168">
        <f t="shared" si="69"/>
        <v>0</v>
      </c>
      <c r="AZ366" s="168">
        <f t="shared" si="70"/>
        <v>0</v>
      </c>
      <c r="BA366" s="141"/>
      <c r="IH366" s="142"/>
      <c r="II366" s="142"/>
      <c r="IJ366" s="142"/>
      <c r="IK366" s="142"/>
      <c r="IL366" s="142"/>
      <c r="IM366" s="142"/>
      <c r="IN366" s="142"/>
    </row>
    <row r="367" s="135" customFormat="1" ht="12.95" customHeight="1" spans="1:248">
      <c r="A367" s="154"/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  <c r="AA367" s="184"/>
      <c r="AB367" s="184"/>
      <c r="AC367" s="184"/>
      <c r="AD367" s="184"/>
      <c r="AE367" s="184"/>
      <c r="AF367" s="160"/>
      <c r="AG367" s="160"/>
      <c r="AH367" s="160"/>
      <c r="AI367" s="160"/>
      <c r="AJ367" s="160"/>
      <c r="AK367" s="160"/>
      <c r="AL367" s="184"/>
      <c r="AM367" s="1"/>
      <c r="AN367" s="168">
        <f t="shared" si="58"/>
        <v>0</v>
      </c>
      <c r="AO367" s="168">
        <f t="shared" si="59"/>
        <v>0</v>
      </c>
      <c r="AP367" s="168">
        <f t="shared" si="60"/>
        <v>0</v>
      </c>
      <c r="AQ367" s="168">
        <f t="shared" si="61"/>
        <v>0</v>
      </c>
      <c r="AR367" s="168">
        <f t="shared" si="62"/>
        <v>0</v>
      </c>
      <c r="AS367" s="168">
        <f t="shared" si="63"/>
        <v>0</v>
      </c>
      <c r="AT367" s="168">
        <f t="shared" si="64"/>
        <v>0</v>
      </c>
      <c r="AU367" s="168">
        <f t="shared" si="65"/>
        <v>0</v>
      </c>
      <c r="AV367" s="168">
        <f t="shared" si="66"/>
        <v>0</v>
      </c>
      <c r="AW367" s="168">
        <f t="shared" si="67"/>
        <v>0</v>
      </c>
      <c r="AX367" s="168">
        <f t="shared" si="68"/>
        <v>0</v>
      </c>
      <c r="AY367" s="168">
        <f t="shared" si="69"/>
        <v>0</v>
      </c>
      <c r="AZ367" s="168">
        <f t="shared" si="70"/>
        <v>0</v>
      </c>
      <c r="BA367" s="141"/>
      <c r="IH367" s="142"/>
      <c r="II367" s="142"/>
      <c r="IJ367" s="142"/>
      <c r="IK367" s="142"/>
      <c r="IL367" s="142"/>
      <c r="IM367" s="142"/>
      <c r="IN367" s="142"/>
    </row>
    <row r="368" s="135" customFormat="1" ht="12.95" customHeight="1" spans="1:248">
      <c r="A368" s="154"/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  <c r="AA368" s="184"/>
      <c r="AB368" s="184"/>
      <c r="AC368" s="184"/>
      <c r="AD368" s="184"/>
      <c r="AE368" s="184"/>
      <c r="AF368" s="160"/>
      <c r="AG368" s="160"/>
      <c r="AH368" s="160"/>
      <c r="AI368" s="160"/>
      <c r="AJ368" s="160"/>
      <c r="AK368" s="160"/>
      <c r="AL368" s="184"/>
      <c r="AM368" s="1"/>
      <c r="AN368" s="168">
        <f t="shared" si="58"/>
        <v>0</v>
      </c>
      <c r="AO368" s="168">
        <f t="shared" si="59"/>
        <v>0</v>
      </c>
      <c r="AP368" s="168">
        <f t="shared" si="60"/>
        <v>0</v>
      </c>
      <c r="AQ368" s="168">
        <f t="shared" si="61"/>
        <v>0</v>
      </c>
      <c r="AR368" s="168">
        <f t="shared" si="62"/>
        <v>0</v>
      </c>
      <c r="AS368" s="168">
        <f t="shared" si="63"/>
        <v>0</v>
      </c>
      <c r="AT368" s="168">
        <f t="shared" si="64"/>
        <v>0</v>
      </c>
      <c r="AU368" s="168">
        <f t="shared" si="65"/>
        <v>0</v>
      </c>
      <c r="AV368" s="168">
        <f t="shared" si="66"/>
        <v>0</v>
      </c>
      <c r="AW368" s="168">
        <f t="shared" si="67"/>
        <v>0</v>
      </c>
      <c r="AX368" s="168">
        <f t="shared" si="68"/>
        <v>0</v>
      </c>
      <c r="AY368" s="168">
        <f t="shared" si="69"/>
        <v>0</v>
      </c>
      <c r="AZ368" s="168">
        <f t="shared" si="70"/>
        <v>0</v>
      </c>
      <c r="BA368" s="141"/>
      <c r="IH368" s="142"/>
      <c r="II368" s="142"/>
      <c r="IJ368" s="142"/>
      <c r="IK368" s="142"/>
      <c r="IL368" s="142"/>
      <c r="IM368" s="142"/>
      <c r="IN368" s="142"/>
    </row>
    <row r="369" s="135" customFormat="1" ht="12.95" customHeight="1" spans="1:248">
      <c r="A369" s="154"/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  <c r="AA369" s="184"/>
      <c r="AB369" s="184"/>
      <c r="AC369" s="184"/>
      <c r="AD369" s="184"/>
      <c r="AE369" s="184"/>
      <c r="AF369" s="160"/>
      <c r="AG369" s="160"/>
      <c r="AH369" s="160"/>
      <c r="AI369" s="160"/>
      <c r="AJ369" s="160"/>
      <c r="AK369" s="160"/>
      <c r="AL369" s="184"/>
      <c r="AM369" s="1"/>
      <c r="AN369" s="168">
        <f t="shared" si="58"/>
        <v>0</v>
      </c>
      <c r="AO369" s="168">
        <f t="shared" si="59"/>
        <v>0</v>
      </c>
      <c r="AP369" s="168">
        <f t="shared" si="60"/>
        <v>0</v>
      </c>
      <c r="AQ369" s="168">
        <f t="shared" si="61"/>
        <v>0</v>
      </c>
      <c r="AR369" s="168">
        <f t="shared" si="62"/>
        <v>0</v>
      </c>
      <c r="AS369" s="168">
        <f t="shared" si="63"/>
        <v>0</v>
      </c>
      <c r="AT369" s="168">
        <f t="shared" si="64"/>
        <v>0</v>
      </c>
      <c r="AU369" s="168">
        <f t="shared" si="65"/>
        <v>0</v>
      </c>
      <c r="AV369" s="168">
        <f t="shared" si="66"/>
        <v>0</v>
      </c>
      <c r="AW369" s="168">
        <f t="shared" si="67"/>
        <v>0</v>
      </c>
      <c r="AX369" s="168">
        <f t="shared" si="68"/>
        <v>0</v>
      </c>
      <c r="AY369" s="168">
        <f t="shared" si="69"/>
        <v>0</v>
      </c>
      <c r="AZ369" s="168">
        <f t="shared" si="70"/>
        <v>0</v>
      </c>
      <c r="BA369" s="141"/>
      <c r="IH369" s="142"/>
      <c r="II369" s="142"/>
      <c r="IJ369" s="142"/>
      <c r="IK369" s="142"/>
      <c r="IL369" s="142"/>
      <c r="IM369" s="142"/>
      <c r="IN369" s="142"/>
    </row>
    <row r="370" s="135" customFormat="1" ht="12.95" customHeight="1" spans="1:248">
      <c r="A370" s="154"/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  <c r="AA370" s="184"/>
      <c r="AB370" s="184"/>
      <c r="AC370" s="184"/>
      <c r="AD370" s="184"/>
      <c r="AE370" s="184"/>
      <c r="AF370" s="160"/>
      <c r="AG370" s="160"/>
      <c r="AH370" s="160"/>
      <c r="AI370" s="160"/>
      <c r="AJ370" s="160"/>
      <c r="AK370" s="160"/>
      <c r="AL370" s="184"/>
      <c r="AM370" s="1"/>
      <c r="AN370" s="168">
        <f t="shared" si="58"/>
        <v>0</v>
      </c>
      <c r="AO370" s="168">
        <f t="shared" si="59"/>
        <v>0</v>
      </c>
      <c r="AP370" s="168">
        <f t="shared" si="60"/>
        <v>0</v>
      </c>
      <c r="AQ370" s="168">
        <f t="shared" si="61"/>
        <v>0</v>
      </c>
      <c r="AR370" s="168">
        <f t="shared" si="62"/>
        <v>0</v>
      </c>
      <c r="AS370" s="168">
        <f t="shared" si="63"/>
        <v>0</v>
      </c>
      <c r="AT370" s="168">
        <f t="shared" si="64"/>
        <v>0</v>
      </c>
      <c r="AU370" s="168">
        <f t="shared" si="65"/>
        <v>0</v>
      </c>
      <c r="AV370" s="168">
        <f t="shared" si="66"/>
        <v>0</v>
      </c>
      <c r="AW370" s="168">
        <f t="shared" si="67"/>
        <v>0</v>
      </c>
      <c r="AX370" s="168">
        <f t="shared" si="68"/>
        <v>0</v>
      </c>
      <c r="AY370" s="168">
        <f t="shared" si="69"/>
        <v>0</v>
      </c>
      <c r="AZ370" s="168">
        <f t="shared" si="70"/>
        <v>0</v>
      </c>
      <c r="BA370" s="141"/>
      <c r="IH370" s="142"/>
      <c r="II370" s="142"/>
      <c r="IJ370" s="142"/>
      <c r="IK370" s="142"/>
      <c r="IL370" s="142"/>
      <c r="IM370" s="142"/>
      <c r="IN370" s="142"/>
    </row>
    <row r="371" s="135" customFormat="1" ht="12.95" customHeight="1" spans="1:248">
      <c r="A371" s="154"/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  <c r="AA371" s="184"/>
      <c r="AB371" s="184"/>
      <c r="AC371" s="184"/>
      <c r="AD371" s="184"/>
      <c r="AE371" s="184"/>
      <c r="AF371" s="160"/>
      <c r="AG371" s="160"/>
      <c r="AH371" s="160"/>
      <c r="AI371" s="160"/>
      <c r="AJ371" s="160"/>
      <c r="AK371" s="160"/>
      <c r="AL371" s="184"/>
      <c r="AM371" s="1"/>
      <c r="AN371" s="168">
        <f t="shared" si="58"/>
        <v>0</v>
      </c>
      <c r="AO371" s="168">
        <f t="shared" si="59"/>
        <v>0</v>
      </c>
      <c r="AP371" s="168">
        <f t="shared" si="60"/>
        <v>0</v>
      </c>
      <c r="AQ371" s="168">
        <f t="shared" si="61"/>
        <v>0</v>
      </c>
      <c r="AR371" s="168">
        <f t="shared" si="62"/>
        <v>0</v>
      </c>
      <c r="AS371" s="168">
        <f t="shared" si="63"/>
        <v>0</v>
      </c>
      <c r="AT371" s="168">
        <f t="shared" si="64"/>
        <v>0</v>
      </c>
      <c r="AU371" s="168">
        <f t="shared" si="65"/>
        <v>0</v>
      </c>
      <c r="AV371" s="168">
        <f t="shared" si="66"/>
        <v>0</v>
      </c>
      <c r="AW371" s="168">
        <f t="shared" si="67"/>
        <v>0</v>
      </c>
      <c r="AX371" s="168">
        <f t="shared" si="68"/>
        <v>0</v>
      </c>
      <c r="AY371" s="168">
        <f t="shared" si="69"/>
        <v>0</v>
      </c>
      <c r="AZ371" s="168">
        <f t="shared" si="70"/>
        <v>0</v>
      </c>
      <c r="BA371" s="141"/>
      <c r="IH371" s="142"/>
      <c r="II371" s="142"/>
      <c r="IJ371" s="142"/>
      <c r="IK371" s="142"/>
      <c r="IL371" s="142"/>
      <c r="IM371" s="142"/>
      <c r="IN371" s="142"/>
    </row>
    <row r="372" s="135" customFormat="1" ht="12.95" customHeight="1" spans="1:248">
      <c r="A372" s="154"/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  <c r="AA372" s="184"/>
      <c r="AB372" s="184"/>
      <c r="AC372" s="184"/>
      <c r="AD372" s="184"/>
      <c r="AE372" s="184"/>
      <c r="AF372" s="160"/>
      <c r="AG372" s="160"/>
      <c r="AH372" s="160"/>
      <c r="AI372" s="160"/>
      <c r="AJ372" s="160"/>
      <c r="AK372" s="160"/>
      <c r="AL372" s="184"/>
      <c r="AM372" s="1"/>
      <c r="AN372" s="168">
        <f t="shared" si="58"/>
        <v>0</v>
      </c>
      <c r="AO372" s="168">
        <f t="shared" si="59"/>
        <v>0</v>
      </c>
      <c r="AP372" s="168">
        <f t="shared" si="60"/>
        <v>0</v>
      </c>
      <c r="AQ372" s="168">
        <f t="shared" si="61"/>
        <v>0</v>
      </c>
      <c r="AR372" s="168">
        <f t="shared" si="62"/>
        <v>0</v>
      </c>
      <c r="AS372" s="168">
        <f t="shared" si="63"/>
        <v>0</v>
      </c>
      <c r="AT372" s="168">
        <f t="shared" si="64"/>
        <v>0</v>
      </c>
      <c r="AU372" s="168">
        <f t="shared" si="65"/>
        <v>0</v>
      </c>
      <c r="AV372" s="168">
        <f t="shared" si="66"/>
        <v>0</v>
      </c>
      <c r="AW372" s="168">
        <f t="shared" si="67"/>
        <v>0</v>
      </c>
      <c r="AX372" s="168">
        <f t="shared" si="68"/>
        <v>0</v>
      </c>
      <c r="AY372" s="168">
        <f t="shared" si="69"/>
        <v>0</v>
      </c>
      <c r="AZ372" s="168">
        <f t="shared" si="70"/>
        <v>0</v>
      </c>
      <c r="BA372" s="141"/>
      <c r="IH372" s="142"/>
      <c r="II372" s="142"/>
      <c r="IJ372" s="142"/>
      <c r="IK372" s="142"/>
      <c r="IL372" s="142"/>
      <c r="IM372" s="142"/>
      <c r="IN372" s="142"/>
    </row>
    <row r="373" s="135" customFormat="1" ht="12.95" customHeight="1" spans="1:248">
      <c r="A373" s="154"/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  <c r="AA373" s="184"/>
      <c r="AB373" s="184"/>
      <c r="AC373" s="184"/>
      <c r="AD373" s="184"/>
      <c r="AE373" s="184"/>
      <c r="AF373" s="160"/>
      <c r="AG373" s="160"/>
      <c r="AH373" s="160"/>
      <c r="AI373" s="160"/>
      <c r="AJ373" s="160"/>
      <c r="AK373" s="160"/>
      <c r="AL373" s="184"/>
      <c r="AM373" s="1"/>
      <c r="AN373" s="168">
        <f t="shared" si="58"/>
        <v>0</v>
      </c>
      <c r="AO373" s="168">
        <f t="shared" si="59"/>
        <v>0</v>
      </c>
      <c r="AP373" s="168">
        <f t="shared" si="60"/>
        <v>0</v>
      </c>
      <c r="AQ373" s="168">
        <f t="shared" si="61"/>
        <v>0</v>
      </c>
      <c r="AR373" s="168">
        <f t="shared" si="62"/>
        <v>0</v>
      </c>
      <c r="AS373" s="168">
        <f t="shared" si="63"/>
        <v>0</v>
      </c>
      <c r="AT373" s="168">
        <f t="shared" si="64"/>
        <v>0</v>
      </c>
      <c r="AU373" s="168">
        <f t="shared" si="65"/>
        <v>0</v>
      </c>
      <c r="AV373" s="168">
        <f t="shared" si="66"/>
        <v>0</v>
      </c>
      <c r="AW373" s="168">
        <f t="shared" si="67"/>
        <v>0</v>
      </c>
      <c r="AX373" s="168">
        <f t="shared" si="68"/>
        <v>0</v>
      </c>
      <c r="AY373" s="168">
        <f t="shared" si="69"/>
        <v>0</v>
      </c>
      <c r="AZ373" s="168">
        <f t="shared" si="70"/>
        <v>0</v>
      </c>
      <c r="BA373" s="141"/>
      <c r="IH373" s="142"/>
      <c r="II373" s="142"/>
      <c r="IJ373" s="142"/>
      <c r="IK373" s="142"/>
      <c r="IL373" s="142"/>
      <c r="IM373" s="142"/>
      <c r="IN373" s="142"/>
    </row>
    <row r="374" s="135" customFormat="1" ht="12.95" customHeight="1" spans="1:248">
      <c r="A374" s="154"/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  <c r="AA374" s="184"/>
      <c r="AB374" s="184"/>
      <c r="AC374" s="184"/>
      <c r="AD374" s="184"/>
      <c r="AE374" s="184"/>
      <c r="AF374" s="160"/>
      <c r="AG374" s="160"/>
      <c r="AH374" s="160"/>
      <c r="AI374" s="160"/>
      <c r="AJ374" s="160"/>
      <c r="AK374" s="160"/>
      <c r="AL374" s="184"/>
      <c r="AM374" s="1"/>
      <c r="AN374" s="168">
        <f t="shared" si="58"/>
        <v>0</v>
      </c>
      <c r="AO374" s="168">
        <f t="shared" si="59"/>
        <v>0</v>
      </c>
      <c r="AP374" s="168">
        <f t="shared" si="60"/>
        <v>0</v>
      </c>
      <c r="AQ374" s="168">
        <f t="shared" si="61"/>
        <v>0</v>
      </c>
      <c r="AR374" s="168">
        <f t="shared" si="62"/>
        <v>0</v>
      </c>
      <c r="AS374" s="168">
        <f t="shared" si="63"/>
        <v>0</v>
      </c>
      <c r="AT374" s="168">
        <f t="shared" si="64"/>
        <v>0</v>
      </c>
      <c r="AU374" s="168">
        <f t="shared" si="65"/>
        <v>0</v>
      </c>
      <c r="AV374" s="168">
        <f t="shared" si="66"/>
        <v>0</v>
      </c>
      <c r="AW374" s="168">
        <f t="shared" si="67"/>
        <v>0</v>
      </c>
      <c r="AX374" s="168">
        <f t="shared" si="68"/>
        <v>0</v>
      </c>
      <c r="AY374" s="168">
        <f t="shared" si="69"/>
        <v>0</v>
      </c>
      <c r="AZ374" s="168">
        <f t="shared" si="70"/>
        <v>0</v>
      </c>
      <c r="BA374" s="141"/>
      <c r="IH374" s="142"/>
      <c r="II374" s="142"/>
      <c r="IJ374" s="142"/>
      <c r="IK374" s="142"/>
      <c r="IL374" s="142"/>
      <c r="IM374" s="142"/>
      <c r="IN374" s="142"/>
    </row>
    <row r="375" s="135" customFormat="1" ht="12.95" customHeight="1" spans="1:248">
      <c r="A375" s="154"/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  <c r="AA375" s="184"/>
      <c r="AB375" s="184"/>
      <c r="AC375" s="184"/>
      <c r="AD375" s="184"/>
      <c r="AE375" s="184"/>
      <c r="AF375" s="160"/>
      <c r="AG375" s="160"/>
      <c r="AH375" s="160"/>
      <c r="AI375" s="160"/>
      <c r="AJ375" s="160"/>
      <c r="AK375" s="160"/>
      <c r="AL375" s="184"/>
      <c r="AM375" s="1"/>
      <c r="AN375" s="168">
        <f t="shared" si="58"/>
        <v>0</v>
      </c>
      <c r="AO375" s="168">
        <f t="shared" si="59"/>
        <v>0</v>
      </c>
      <c r="AP375" s="168">
        <f t="shared" si="60"/>
        <v>0</v>
      </c>
      <c r="AQ375" s="168">
        <f t="shared" si="61"/>
        <v>0</v>
      </c>
      <c r="AR375" s="168">
        <f t="shared" si="62"/>
        <v>0</v>
      </c>
      <c r="AS375" s="168">
        <f t="shared" si="63"/>
        <v>0</v>
      </c>
      <c r="AT375" s="168">
        <f t="shared" si="64"/>
        <v>0</v>
      </c>
      <c r="AU375" s="168">
        <f t="shared" si="65"/>
        <v>0</v>
      </c>
      <c r="AV375" s="168">
        <f t="shared" si="66"/>
        <v>0</v>
      </c>
      <c r="AW375" s="168">
        <f t="shared" si="67"/>
        <v>0</v>
      </c>
      <c r="AX375" s="168">
        <f t="shared" si="68"/>
        <v>0</v>
      </c>
      <c r="AY375" s="168">
        <f t="shared" si="69"/>
        <v>0</v>
      </c>
      <c r="AZ375" s="168">
        <f t="shared" si="70"/>
        <v>0</v>
      </c>
      <c r="BA375" s="141"/>
      <c r="IH375" s="142"/>
      <c r="II375" s="142"/>
      <c r="IJ375" s="142"/>
      <c r="IK375" s="142"/>
      <c r="IL375" s="142"/>
      <c r="IM375" s="142"/>
      <c r="IN375" s="142"/>
    </row>
    <row r="376" s="135" customFormat="1" ht="12.95" customHeight="1" spans="1:248">
      <c r="A376" s="154"/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  <c r="AA376" s="184"/>
      <c r="AB376" s="184"/>
      <c r="AC376" s="184"/>
      <c r="AD376" s="184"/>
      <c r="AE376" s="184"/>
      <c r="AF376" s="160"/>
      <c r="AG376" s="160"/>
      <c r="AH376" s="160"/>
      <c r="AI376" s="160"/>
      <c r="AJ376" s="160"/>
      <c r="AK376" s="160"/>
      <c r="AL376" s="184"/>
      <c r="AM376" s="1"/>
      <c r="AN376" s="168">
        <f t="shared" si="58"/>
        <v>0</v>
      </c>
      <c r="AO376" s="168">
        <f t="shared" si="59"/>
        <v>0</v>
      </c>
      <c r="AP376" s="168">
        <f t="shared" si="60"/>
        <v>0</v>
      </c>
      <c r="AQ376" s="168">
        <f t="shared" si="61"/>
        <v>0</v>
      </c>
      <c r="AR376" s="168">
        <f t="shared" si="62"/>
        <v>0</v>
      </c>
      <c r="AS376" s="168">
        <f t="shared" si="63"/>
        <v>0</v>
      </c>
      <c r="AT376" s="168">
        <f t="shared" si="64"/>
        <v>0</v>
      </c>
      <c r="AU376" s="168">
        <f t="shared" si="65"/>
        <v>0</v>
      </c>
      <c r="AV376" s="168">
        <f t="shared" si="66"/>
        <v>0</v>
      </c>
      <c r="AW376" s="168">
        <f t="shared" si="67"/>
        <v>0</v>
      </c>
      <c r="AX376" s="168">
        <f t="shared" si="68"/>
        <v>0</v>
      </c>
      <c r="AY376" s="168">
        <f t="shared" si="69"/>
        <v>0</v>
      </c>
      <c r="AZ376" s="168">
        <f t="shared" si="70"/>
        <v>0</v>
      </c>
      <c r="BA376" s="141"/>
      <c r="IH376" s="142"/>
      <c r="II376" s="142"/>
      <c r="IJ376" s="142"/>
      <c r="IK376" s="142"/>
      <c r="IL376" s="142"/>
      <c r="IM376" s="142"/>
      <c r="IN376" s="142"/>
    </row>
    <row r="377" s="135" customFormat="1" ht="12.95" customHeight="1" spans="1:248">
      <c r="A377" s="15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  <c r="AA377" s="184"/>
      <c r="AB377" s="184"/>
      <c r="AC377" s="184"/>
      <c r="AD377" s="184"/>
      <c r="AE377" s="184"/>
      <c r="AF377" s="160"/>
      <c r="AG377" s="160"/>
      <c r="AH377" s="160"/>
      <c r="AI377" s="160"/>
      <c r="AJ377" s="160"/>
      <c r="AK377" s="160"/>
      <c r="AL377" s="184"/>
      <c r="AM377" s="1"/>
      <c r="AN377" s="168">
        <f t="shared" si="58"/>
        <v>0</v>
      </c>
      <c r="AO377" s="168">
        <f t="shared" si="59"/>
        <v>0</v>
      </c>
      <c r="AP377" s="168">
        <f t="shared" si="60"/>
        <v>0</v>
      </c>
      <c r="AQ377" s="168">
        <f t="shared" si="61"/>
        <v>0</v>
      </c>
      <c r="AR377" s="168">
        <f t="shared" si="62"/>
        <v>0</v>
      </c>
      <c r="AS377" s="168">
        <f t="shared" si="63"/>
        <v>0</v>
      </c>
      <c r="AT377" s="168">
        <f t="shared" si="64"/>
        <v>0</v>
      </c>
      <c r="AU377" s="168">
        <f t="shared" si="65"/>
        <v>0</v>
      </c>
      <c r="AV377" s="168">
        <f t="shared" si="66"/>
        <v>0</v>
      </c>
      <c r="AW377" s="168">
        <f t="shared" si="67"/>
        <v>0</v>
      </c>
      <c r="AX377" s="168">
        <f t="shared" si="68"/>
        <v>0</v>
      </c>
      <c r="AY377" s="168">
        <f t="shared" si="69"/>
        <v>0</v>
      </c>
      <c r="AZ377" s="168">
        <f t="shared" si="70"/>
        <v>0</v>
      </c>
      <c r="BA377" s="141"/>
      <c r="IH377" s="142"/>
      <c r="II377" s="142"/>
      <c r="IJ377" s="142"/>
      <c r="IK377" s="142"/>
      <c r="IL377" s="142"/>
      <c r="IM377" s="142"/>
      <c r="IN377" s="142"/>
    </row>
    <row r="378" s="135" customFormat="1" ht="12.95" customHeight="1" spans="1:248">
      <c r="A378" s="15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  <c r="AA378" s="184"/>
      <c r="AB378" s="184"/>
      <c r="AC378" s="184"/>
      <c r="AD378" s="184"/>
      <c r="AE378" s="184"/>
      <c r="AF378" s="160"/>
      <c r="AG378" s="160"/>
      <c r="AH378" s="160"/>
      <c r="AI378" s="160"/>
      <c r="AJ378" s="160"/>
      <c r="AK378" s="160"/>
      <c r="AL378" s="184"/>
      <c r="AM378" s="1"/>
      <c r="AN378" s="168">
        <f t="shared" si="58"/>
        <v>0</v>
      </c>
      <c r="AO378" s="168">
        <f t="shared" si="59"/>
        <v>0</v>
      </c>
      <c r="AP378" s="168">
        <f t="shared" si="60"/>
        <v>0</v>
      </c>
      <c r="AQ378" s="168">
        <f t="shared" si="61"/>
        <v>0</v>
      </c>
      <c r="AR378" s="168">
        <f t="shared" si="62"/>
        <v>0</v>
      </c>
      <c r="AS378" s="168">
        <f t="shared" si="63"/>
        <v>0</v>
      </c>
      <c r="AT378" s="168">
        <f t="shared" si="64"/>
        <v>0</v>
      </c>
      <c r="AU378" s="168">
        <f t="shared" si="65"/>
        <v>0</v>
      </c>
      <c r="AV378" s="168">
        <f t="shared" si="66"/>
        <v>0</v>
      </c>
      <c r="AW378" s="168">
        <f t="shared" si="67"/>
        <v>0</v>
      </c>
      <c r="AX378" s="168">
        <f t="shared" si="68"/>
        <v>0</v>
      </c>
      <c r="AY378" s="168">
        <f t="shared" si="69"/>
        <v>0</v>
      </c>
      <c r="AZ378" s="168">
        <f t="shared" si="70"/>
        <v>0</v>
      </c>
      <c r="BA378" s="141"/>
      <c r="IH378" s="142"/>
      <c r="II378" s="142"/>
      <c r="IJ378" s="142"/>
      <c r="IK378" s="142"/>
      <c r="IL378" s="142"/>
      <c r="IM378" s="142"/>
      <c r="IN378" s="142"/>
    </row>
    <row r="379" s="135" customFormat="1" ht="12.95" customHeight="1" spans="1:248">
      <c r="A379" s="15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  <c r="AA379" s="184"/>
      <c r="AB379" s="184"/>
      <c r="AC379" s="184"/>
      <c r="AD379" s="184"/>
      <c r="AE379" s="184"/>
      <c r="AF379" s="160"/>
      <c r="AG379" s="160"/>
      <c r="AH379" s="160"/>
      <c r="AI379" s="160"/>
      <c r="AJ379" s="160"/>
      <c r="AK379" s="160"/>
      <c r="AL379" s="184"/>
      <c r="AM379" s="1"/>
      <c r="AN379" s="168">
        <f t="shared" si="58"/>
        <v>0</v>
      </c>
      <c r="AO379" s="168">
        <f t="shared" si="59"/>
        <v>0</v>
      </c>
      <c r="AP379" s="168">
        <f t="shared" si="60"/>
        <v>0</v>
      </c>
      <c r="AQ379" s="168">
        <f t="shared" si="61"/>
        <v>0</v>
      </c>
      <c r="AR379" s="168">
        <f t="shared" si="62"/>
        <v>0</v>
      </c>
      <c r="AS379" s="168">
        <f t="shared" si="63"/>
        <v>0</v>
      </c>
      <c r="AT379" s="168">
        <f t="shared" si="64"/>
        <v>0</v>
      </c>
      <c r="AU379" s="168">
        <f t="shared" si="65"/>
        <v>0</v>
      </c>
      <c r="AV379" s="168">
        <f t="shared" si="66"/>
        <v>0</v>
      </c>
      <c r="AW379" s="168">
        <f t="shared" si="67"/>
        <v>0</v>
      </c>
      <c r="AX379" s="168">
        <f t="shared" si="68"/>
        <v>0</v>
      </c>
      <c r="AY379" s="168">
        <f t="shared" si="69"/>
        <v>0</v>
      </c>
      <c r="AZ379" s="168">
        <f t="shared" si="70"/>
        <v>0</v>
      </c>
      <c r="BA379" s="141"/>
      <c r="IH379" s="142"/>
      <c r="II379" s="142"/>
      <c r="IJ379" s="142"/>
      <c r="IK379" s="142"/>
      <c r="IL379" s="142"/>
      <c r="IM379" s="142"/>
      <c r="IN379" s="142"/>
    </row>
    <row r="380" s="135" customFormat="1" ht="12.95" customHeight="1" spans="1:248">
      <c r="A380" s="15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  <c r="AA380" s="184"/>
      <c r="AB380" s="184"/>
      <c r="AC380" s="184"/>
      <c r="AD380" s="184"/>
      <c r="AE380" s="184"/>
      <c r="AF380" s="160"/>
      <c r="AG380" s="160"/>
      <c r="AH380" s="160"/>
      <c r="AI380" s="160"/>
      <c r="AJ380" s="160"/>
      <c r="AK380" s="160"/>
      <c r="AL380" s="184"/>
      <c r="AM380" s="1"/>
      <c r="AN380" s="168">
        <f t="shared" si="58"/>
        <v>0</v>
      </c>
      <c r="AO380" s="168">
        <f t="shared" si="59"/>
        <v>0</v>
      </c>
      <c r="AP380" s="168">
        <f t="shared" si="60"/>
        <v>0</v>
      </c>
      <c r="AQ380" s="168">
        <f t="shared" si="61"/>
        <v>0</v>
      </c>
      <c r="AR380" s="168">
        <f t="shared" si="62"/>
        <v>0</v>
      </c>
      <c r="AS380" s="168">
        <f t="shared" si="63"/>
        <v>0</v>
      </c>
      <c r="AT380" s="168">
        <f t="shared" si="64"/>
        <v>0</v>
      </c>
      <c r="AU380" s="168">
        <f t="shared" si="65"/>
        <v>0</v>
      </c>
      <c r="AV380" s="168">
        <f t="shared" si="66"/>
        <v>0</v>
      </c>
      <c r="AW380" s="168">
        <f t="shared" si="67"/>
        <v>0</v>
      </c>
      <c r="AX380" s="168">
        <f t="shared" si="68"/>
        <v>0</v>
      </c>
      <c r="AY380" s="168">
        <f t="shared" si="69"/>
        <v>0</v>
      </c>
      <c r="AZ380" s="168">
        <f t="shared" si="70"/>
        <v>0</v>
      </c>
      <c r="BA380" s="141"/>
      <c r="IH380" s="142"/>
      <c r="II380" s="142"/>
      <c r="IJ380" s="142"/>
      <c r="IK380" s="142"/>
      <c r="IL380" s="142"/>
      <c r="IM380" s="142"/>
      <c r="IN380" s="142"/>
    </row>
    <row r="381" s="135" customFormat="1" ht="12.95" customHeight="1" spans="1:248">
      <c r="A381" s="15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  <c r="AA381" s="184"/>
      <c r="AB381" s="184"/>
      <c r="AC381" s="184"/>
      <c r="AD381" s="184"/>
      <c r="AE381" s="184"/>
      <c r="AF381" s="160"/>
      <c r="AG381" s="160"/>
      <c r="AH381" s="160"/>
      <c r="AI381" s="160"/>
      <c r="AJ381" s="160"/>
      <c r="AK381" s="160"/>
      <c r="AL381" s="184"/>
      <c r="AM381" s="1"/>
      <c r="AN381" s="168">
        <f t="shared" si="58"/>
        <v>0</v>
      </c>
      <c r="AO381" s="168">
        <f t="shared" si="59"/>
        <v>0</v>
      </c>
      <c r="AP381" s="168">
        <f t="shared" si="60"/>
        <v>0</v>
      </c>
      <c r="AQ381" s="168">
        <f t="shared" si="61"/>
        <v>0</v>
      </c>
      <c r="AR381" s="168">
        <f t="shared" si="62"/>
        <v>0</v>
      </c>
      <c r="AS381" s="168">
        <f t="shared" si="63"/>
        <v>0</v>
      </c>
      <c r="AT381" s="168">
        <f t="shared" si="64"/>
        <v>0</v>
      </c>
      <c r="AU381" s="168">
        <f t="shared" si="65"/>
        <v>0</v>
      </c>
      <c r="AV381" s="168">
        <f t="shared" si="66"/>
        <v>0</v>
      </c>
      <c r="AW381" s="168">
        <f t="shared" si="67"/>
        <v>0</v>
      </c>
      <c r="AX381" s="168">
        <f t="shared" si="68"/>
        <v>0</v>
      </c>
      <c r="AY381" s="168">
        <f t="shared" si="69"/>
        <v>0</v>
      </c>
      <c r="AZ381" s="168">
        <f t="shared" si="70"/>
        <v>0</v>
      </c>
      <c r="BA381" s="141"/>
      <c r="IH381" s="142"/>
      <c r="II381" s="142"/>
      <c r="IJ381" s="142"/>
      <c r="IK381" s="142"/>
      <c r="IL381" s="142"/>
      <c r="IM381" s="142"/>
      <c r="IN381" s="142"/>
    </row>
    <row r="382" s="135" customFormat="1" ht="12.95" customHeight="1" spans="1:248">
      <c r="A382" s="154"/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  <c r="AA382" s="184"/>
      <c r="AB382" s="184"/>
      <c r="AC382" s="184"/>
      <c r="AD382" s="184"/>
      <c r="AE382" s="184"/>
      <c r="AF382" s="160"/>
      <c r="AG382" s="160"/>
      <c r="AH382" s="160"/>
      <c r="AI382" s="160"/>
      <c r="AJ382" s="160"/>
      <c r="AK382" s="160"/>
      <c r="AL382" s="184"/>
      <c r="AM382" s="1"/>
      <c r="AN382" s="168">
        <f t="shared" si="58"/>
        <v>0</v>
      </c>
      <c r="AO382" s="168">
        <f t="shared" si="59"/>
        <v>0</v>
      </c>
      <c r="AP382" s="168">
        <f t="shared" si="60"/>
        <v>0</v>
      </c>
      <c r="AQ382" s="168">
        <f t="shared" si="61"/>
        <v>0</v>
      </c>
      <c r="AR382" s="168">
        <f t="shared" si="62"/>
        <v>0</v>
      </c>
      <c r="AS382" s="168">
        <f t="shared" si="63"/>
        <v>0</v>
      </c>
      <c r="AT382" s="168">
        <f t="shared" si="64"/>
        <v>0</v>
      </c>
      <c r="AU382" s="168">
        <f t="shared" si="65"/>
        <v>0</v>
      </c>
      <c r="AV382" s="168">
        <f t="shared" si="66"/>
        <v>0</v>
      </c>
      <c r="AW382" s="168">
        <f t="shared" si="67"/>
        <v>0</v>
      </c>
      <c r="AX382" s="168">
        <f t="shared" si="68"/>
        <v>0</v>
      </c>
      <c r="AY382" s="168">
        <f t="shared" si="69"/>
        <v>0</v>
      </c>
      <c r="AZ382" s="168">
        <f t="shared" si="70"/>
        <v>0</v>
      </c>
      <c r="BA382" s="141"/>
      <c r="IH382" s="142"/>
      <c r="II382" s="142"/>
      <c r="IJ382" s="142"/>
      <c r="IK382" s="142"/>
      <c r="IL382" s="142"/>
      <c r="IM382" s="142"/>
      <c r="IN382" s="142"/>
    </row>
    <row r="383" s="135" customFormat="1" ht="12.95" customHeight="1" spans="1:248">
      <c r="A383" s="154"/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  <c r="AA383" s="184"/>
      <c r="AB383" s="184"/>
      <c r="AC383" s="184"/>
      <c r="AD383" s="184"/>
      <c r="AE383" s="184"/>
      <c r="AF383" s="160"/>
      <c r="AG383" s="160"/>
      <c r="AH383" s="160"/>
      <c r="AI383" s="160"/>
      <c r="AJ383" s="160"/>
      <c r="AK383" s="160"/>
      <c r="AL383" s="184"/>
      <c r="AM383" s="1"/>
      <c r="AN383" s="168">
        <f t="shared" si="58"/>
        <v>0</v>
      </c>
      <c r="AO383" s="168">
        <f t="shared" si="59"/>
        <v>0</v>
      </c>
      <c r="AP383" s="168">
        <f t="shared" si="60"/>
        <v>0</v>
      </c>
      <c r="AQ383" s="168">
        <f t="shared" si="61"/>
        <v>0</v>
      </c>
      <c r="AR383" s="168">
        <f t="shared" si="62"/>
        <v>0</v>
      </c>
      <c r="AS383" s="168">
        <f t="shared" si="63"/>
        <v>0</v>
      </c>
      <c r="AT383" s="168">
        <f t="shared" si="64"/>
        <v>0</v>
      </c>
      <c r="AU383" s="168">
        <f t="shared" si="65"/>
        <v>0</v>
      </c>
      <c r="AV383" s="168">
        <f t="shared" si="66"/>
        <v>0</v>
      </c>
      <c r="AW383" s="168">
        <f t="shared" si="67"/>
        <v>0</v>
      </c>
      <c r="AX383" s="168">
        <f t="shared" si="68"/>
        <v>0</v>
      </c>
      <c r="AY383" s="168">
        <f t="shared" si="69"/>
        <v>0</v>
      </c>
      <c r="AZ383" s="168">
        <f t="shared" si="70"/>
        <v>0</v>
      </c>
      <c r="BA383" s="141"/>
      <c r="IH383" s="142"/>
      <c r="II383" s="142"/>
      <c r="IJ383" s="142"/>
      <c r="IK383" s="142"/>
      <c r="IL383" s="142"/>
      <c r="IM383" s="142"/>
      <c r="IN383" s="142"/>
    </row>
    <row r="384" s="135" customFormat="1" ht="12.95" customHeight="1" spans="1:248">
      <c r="A384" s="154"/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  <c r="AA384" s="184"/>
      <c r="AB384" s="184"/>
      <c r="AC384" s="184"/>
      <c r="AD384" s="184"/>
      <c r="AE384" s="184"/>
      <c r="AF384" s="160"/>
      <c r="AG384" s="160"/>
      <c r="AH384" s="160"/>
      <c r="AI384" s="160"/>
      <c r="AJ384" s="160"/>
      <c r="AK384" s="160"/>
      <c r="AL384" s="184"/>
      <c r="AM384" s="1"/>
      <c r="AN384" s="168">
        <f t="shared" si="58"/>
        <v>0</v>
      </c>
      <c r="AO384" s="168">
        <f t="shared" si="59"/>
        <v>0</v>
      </c>
      <c r="AP384" s="168">
        <f t="shared" si="60"/>
        <v>0</v>
      </c>
      <c r="AQ384" s="168">
        <f t="shared" si="61"/>
        <v>0</v>
      </c>
      <c r="AR384" s="168">
        <f t="shared" si="62"/>
        <v>0</v>
      </c>
      <c r="AS384" s="168">
        <f t="shared" si="63"/>
        <v>0</v>
      </c>
      <c r="AT384" s="168">
        <f t="shared" si="64"/>
        <v>0</v>
      </c>
      <c r="AU384" s="168">
        <f t="shared" si="65"/>
        <v>0</v>
      </c>
      <c r="AV384" s="168">
        <f t="shared" si="66"/>
        <v>0</v>
      </c>
      <c r="AW384" s="168">
        <f t="shared" si="67"/>
        <v>0</v>
      </c>
      <c r="AX384" s="168">
        <f t="shared" si="68"/>
        <v>0</v>
      </c>
      <c r="AY384" s="168">
        <f t="shared" si="69"/>
        <v>0</v>
      </c>
      <c r="AZ384" s="168">
        <f t="shared" si="70"/>
        <v>0</v>
      </c>
      <c r="BA384" s="141"/>
      <c r="IH384" s="142"/>
      <c r="II384" s="142"/>
      <c r="IJ384" s="142"/>
      <c r="IK384" s="142"/>
      <c r="IL384" s="142"/>
      <c r="IM384" s="142"/>
      <c r="IN384" s="142"/>
    </row>
    <row r="385" s="135" customFormat="1" ht="12.95" customHeight="1" spans="1:248">
      <c r="A385" s="154"/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  <c r="AA385" s="184"/>
      <c r="AB385" s="184"/>
      <c r="AC385" s="184"/>
      <c r="AD385" s="184"/>
      <c r="AE385" s="184"/>
      <c r="AF385" s="160"/>
      <c r="AG385" s="160"/>
      <c r="AH385" s="160"/>
      <c r="AI385" s="160"/>
      <c r="AJ385" s="160"/>
      <c r="AK385" s="160"/>
      <c r="AL385" s="184"/>
      <c r="AM385" s="1"/>
      <c r="AN385" s="168">
        <f t="shared" si="58"/>
        <v>0</v>
      </c>
      <c r="AO385" s="168">
        <f t="shared" si="59"/>
        <v>0</v>
      </c>
      <c r="AP385" s="168">
        <f t="shared" si="60"/>
        <v>0</v>
      </c>
      <c r="AQ385" s="168">
        <f t="shared" si="61"/>
        <v>0</v>
      </c>
      <c r="AR385" s="168">
        <f t="shared" si="62"/>
        <v>0</v>
      </c>
      <c r="AS385" s="168">
        <f t="shared" si="63"/>
        <v>0</v>
      </c>
      <c r="AT385" s="168">
        <f t="shared" si="64"/>
        <v>0</v>
      </c>
      <c r="AU385" s="168">
        <f t="shared" si="65"/>
        <v>0</v>
      </c>
      <c r="AV385" s="168">
        <f t="shared" si="66"/>
        <v>0</v>
      </c>
      <c r="AW385" s="168">
        <f t="shared" si="67"/>
        <v>0</v>
      </c>
      <c r="AX385" s="168">
        <f t="shared" si="68"/>
        <v>0</v>
      </c>
      <c r="AY385" s="168">
        <f t="shared" si="69"/>
        <v>0</v>
      </c>
      <c r="AZ385" s="168">
        <f t="shared" si="70"/>
        <v>0</v>
      </c>
      <c r="BA385" s="141"/>
      <c r="IH385" s="142"/>
      <c r="II385" s="142"/>
      <c r="IJ385" s="142"/>
      <c r="IK385" s="142"/>
      <c r="IL385" s="142"/>
      <c r="IM385" s="142"/>
      <c r="IN385" s="142"/>
    </row>
    <row r="386" s="135" customFormat="1" ht="12.95" customHeight="1" spans="1:248">
      <c r="A386" s="154"/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  <c r="AA386" s="184"/>
      <c r="AB386" s="184"/>
      <c r="AC386" s="184"/>
      <c r="AD386" s="184"/>
      <c r="AE386" s="184"/>
      <c r="AF386" s="160"/>
      <c r="AG386" s="160"/>
      <c r="AH386" s="160"/>
      <c r="AI386" s="160"/>
      <c r="AJ386" s="160"/>
      <c r="AK386" s="160"/>
      <c r="AL386" s="184"/>
      <c r="AM386" s="1"/>
      <c r="AN386" s="168">
        <f t="shared" si="58"/>
        <v>0</v>
      </c>
      <c r="AO386" s="168">
        <f t="shared" si="59"/>
        <v>0</v>
      </c>
      <c r="AP386" s="168">
        <f t="shared" si="60"/>
        <v>0</v>
      </c>
      <c r="AQ386" s="168">
        <f t="shared" si="61"/>
        <v>0</v>
      </c>
      <c r="AR386" s="168">
        <f t="shared" si="62"/>
        <v>0</v>
      </c>
      <c r="AS386" s="168">
        <f t="shared" si="63"/>
        <v>0</v>
      </c>
      <c r="AT386" s="168">
        <f t="shared" si="64"/>
        <v>0</v>
      </c>
      <c r="AU386" s="168">
        <f t="shared" si="65"/>
        <v>0</v>
      </c>
      <c r="AV386" s="168">
        <f t="shared" si="66"/>
        <v>0</v>
      </c>
      <c r="AW386" s="168">
        <f t="shared" si="67"/>
        <v>0</v>
      </c>
      <c r="AX386" s="168">
        <f t="shared" si="68"/>
        <v>0</v>
      </c>
      <c r="AY386" s="168">
        <f t="shared" si="69"/>
        <v>0</v>
      </c>
      <c r="AZ386" s="168">
        <f t="shared" si="70"/>
        <v>0</v>
      </c>
      <c r="BA386" s="141"/>
      <c r="IH386" s="142"/>
      <c r="II386" s="142"/>
      <c r="IJ386" s="142"/>
      <c r="IK386" s="142"/>
      <c r="IL386" s="142"/>
      <c r="IM386" s="142"/>
      <c r="IN386" s="142"/>
    </row>
    <row r="387" s="135" customFormat="1" ht="12.95" customHeight="1" spans="1:248">
      <c r="A387" s="154"/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  <c r="AA387" s="184"/>
      <c r="AB387" s="184"/>
      <c r="AC387" s="184"/>
      <c r="AD387" s="184"/>
      <c r="AE387" s="184"/>
      <c r="AF387" s="160"/>
      <c r="AG387" s="160"/>
      <c r="AH387" s="160"/>
      <c r="AI387" s="160"/>
      <c r="AJ387" s="160"/>
      <c r="AK387" s="160"/>
      <c r="AL387" s="184"/>
      <c r="AM387" s="1"/>
      <c r="AN387" s="168">
        <f t="shared" si="58"/>
        <v>0</v>
      </c>
      <c r="AO387" s="168">
        <f t="shared" si="59"/>
        <v>0</v>
      </c>
      <c r="AP387" s="168">
        <f t="shared" si="60"/>
        <v>0</v>
      </c>
      <c r="AQ387" s="168">
        <f t="shared" si="61"/>
        <v>0</v>
      </c>
      <c r="AR387" s="168">
        <f t="shared" si="62"/>
        <v>0</v>
      </c>
      <c r="AS387" s="168">
        <f t="shared" si="63"/>
        <v>0</v>
      </c>
      <c r="AT387" s="168">
        <f t="shared" si="64"/>
        <v>0</v>
      </c>
      <c r="AU387" s="168">
        <f t="shared" si="65"/>
        <v>0</v>
      </c>
      <c r="AV387" s="168">
        <f t="shared" si="66"/>
        <v>0</v>
      </c>
      <c r="AW387" s="168">
        <f t="shared" si="67"/>
        <v>0</v>
      </c>
      <c r="AX387" s="168">
        <f t="shared" si="68"/>
        <v>0</v>
      </c>
      <c r="AY387" s="168">
        <f t="shared" si="69"/>
        <v>0</v>
      </c>
      <c r="AZ387" s="168">
        <f t="shared" si="70"/>
        <v>0</v>
      </c>
      <c r="BA387" s="141"/>
      <c r="IH387" s="142"/>
      <c r="II387" s="142"/>
      <c r="IJ387" s="142"/>
      <c r="IK387" s="142"/>
      <c r="IL387" s="142"/>
      <c r="IM387" s="142"/>
      <c r="IN387" s="142"/>
    </row>
    <row r="388" s="135" customFormat="1" ht="12.95" customHeight="1" spans="1:248">
      <c r="A388" s="154"/>
      <c r="B388" s="184"/>
      <c r="C388" s="184"/>
      <c r="D388" s="184"/>
      <c r="E388" s="185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  <c r="AA388" s="184"/>
      <c r="AB388" s="184"/>
      <c r="AC388" s="184"/>
      <c r="AD388" s="184"/>
      <c r="AE388" s="184"/>
      <c r="AF388" s="160"/>
      <c r="AG388" s="160"/>
      <c r="AH388" s="160"/>
      <c r="AI388" s="160"/>
      <c r="AJ388" s="160"/>
      <c r="AK388" s="160"/>
      <c r="AL388" s="184"/>
      <c r="AM388" s="1"/>
      <c r="AN388" s="168">
        <f t="shared" si="58"/>
        <v>0</v>
      </c>
      <c r="AO388" s="168">
        <f t="shared" si="59"/>
        <v>0</v>
      </c>
      <c r="AP388" s="168">
        <f t="shared" si="60"/>
        <v>0</v>
      </c>
      <c r="AQ388" s="168">
        <f t="shared" si="61"/>
        <v>0</v>
      </c>
      <c r="AR388" s="168">
        <f t="shared" si="62"/>
        <v>0</v>
      </c>
      <c r="AS388" s="168">
        <f t="shared" si="63"/>
        <v>0</v>
      </c>
      <c r="AT388" s="168">
        <f t="shared" si="64"/>
        <v>0</v>
      </c>
      <c r="AU388" s="168">
        <f t="shared" si="65"/>
        <v>0</v>
      </c>
      <c r="AV388" s="168">
        <f t="shared" si="66"/>
        <v>0</v>
      </c>
      <c r="AW388" s="168">
        <f t="shared" si="67"/>
        <v>0</v>
      </c>
      <c r="AX388" s="168">
        <f t="shared" si="68"/>
        <v>0</v>
      </c>
      <c r="AY388" s="168">
        <f t="shared" si="69"/>
        <v>0</v>
      </c>
      <c r="AZ388" s="168">
        <f t="shared" si="70"/>
        <v>0</v>
      </c>
      <c r="BA388" s="141"/>
      <c r="IH388" s="142"/>
      <c r="II388" s="142"/>
      <c r="IJ388" s="142"/>
      <c r="IK388" s="142"/>
      <c r="IL388" s="142"/>
      <c r="IM388" s="142"/>
      <c r="IN388" s="142"/>
    </row>
    <row r="389" s="135" customFormat="1" ht="12.95" customHeight="1" spans="1:248">
      <c r="A389" s="154"/>
      <c r="B389" s="184"/>
      <c r="C389" s="184"/>
      <c r="D389" s="184"/>
      <c r="E389" s="185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  <c r="AA389" s="184"/>
      <c r="AB389" s="184"/>
      <c r="AC389" s="184"/>
      <c r="AD389" s="184"/>
      <c r="AE389" s="184"/>
      <c r="AF389" s="160"/>
      <c r="AG389" s="160"/>
      <c r="AH389" s="160"/>
      <c r="AI389" s="160"/>
      <c r="AJ389" s="160"/>
      <c r="AK389" s="160"/>
      <c r="AL389" s="184"/>
      <c r="AM389" s="1"/>
      <c r="AN389" s="168">
        <f t="shared" si="58"/>
        <v>0</v>
      </c>
      <c r="AO389" s="168">
        <f t="shared" si="59"/>
        <v>0</v>
      </c>
      <c r="AP389" s="168">
        <f t="shared" si="60"/>
        <v>0</v>
      </c>
      <c r="AQ389" s="168">
        <f t="shared" si="61"/>
        <v>0</v>
      </c>
      <c r="AR389" s="168">
        <f t="shared" si="62"/>
        <v>0</v>
      </c>
      <c r="AS389" s="168">
        <f t="shared" si="63"/>
        <v>0</v>
      </c>
      <c r="AT389" s="168">
        <f t="shared" si="64"/>
        <v>0</v>
      </c>
      <c r="AU389" s="168">
        <f t="shared" si="65"/>
        <v>0</v>
      </c>
      <c r="AV389" s="168">
        <f t="shared" si="66"/>
        <v>0</v>
      </c>
      <c r="AW389" s="168">
        <f t="shared" si="67"/>
        <v>0</v>
      </c>
      <c r="AX389" s="168">
        <f t="shared" si="68"/>
        <v>0</v>
      </c>
      <c r="AY389" s="168">
        <f t="shared" si="69"/>
        <v>0</v>
      </c>
      <c r="AZ389" s="168">
        <f t="shared" si="70"/>
        <v>0</v>
      </c>
      <c r="BA389" s="141"/>
      <c r="IH389" s="142"/>
      <c r="II389" s="142"/>
      <c r="IJ389" s="142"/>
      <c r="IK389" s="142"/>
      <c r="IL389" s="142"/>
      <c r="IM389" s="142"/>
      <c r="IN389" s="142"/>
    </row>
    <row r="390" s="135" customFormat="1" ht="12.95" customHeight="1" spans="1:248">
      <c r="A390" s="154"/>
      <c r="B390" s="184"/>
      <c r="C390" s="184"/>
      <c r="D390" s="184"/>
      <c r="E390" s="184"/>
      <c r="F390" s="184"/>
      <c r="G390" s="184"/>
      <c r="H390" s="165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  <c r="AA390" s="184"/>
      <c r="AB390" s="184"/>
      <c r="AC390" s="184"/>
      <c r="AD390" s="184"/>
      <c r="AE390" s="184"/>
      <c r="AF390" s="160"/>
      <c r="AG390" s="160"/>
      <c r="AH390" s="160"/>
      <c r="AI390" s="160"/>
      <c r="AJ390" s="160"/>
      <c r="AK390" s="160"/>
      <c r="AL390" s="184"/>
      <c r="AM390" s="1"/>
      <c r="AN390" s="168">
        <f t="shared" si="58"/>
        <v>0</v>
      </c>
      <c r="AO390" s="168">
        <f t="shared" si="59"/>
        <v>0</v>
      </c>
      <c r="AP390" s="168">
        <f t="shared" si="60"/>
        <v>0</v>
      </c>
      <c r="AQ390" s="168">
        <f t="shared" si="61"/>
        <v>0</v>
      </c>
      <c r="AR390" s="168">
        <f t="shared" si="62"/>
        <v>0</v>
      </c>
      <c r="AS390" s="168">
        <f t="shared" si="63"/>
        <v>0</v>
      </c>
      <c r="AT390" s="168">
        <f t="shared" si="64"/>
        <v>0</v>
      </c>
      <c r="AU390" s="168">
        <f t="shared" si="65"/>
        <v>0</v>
      </c>
      <c r="AV390" s="168">
        <f t="shared" si="66"/>
        <v>0</v>
      </c>
      <c r="AW390" s="168">
        <f t="shared" si="67"/>
        <v>0</v>
      </c>
      <c r="AX390" s="168">
        <f t="shared" si="68"/>
        <v>0</v>
      </c>
      <c r="AY390" s="168">
        <f t="shared" si="69"/>
        <v>0</v>
      </c>
      <c r="AZ390" s="168">
        <f t="shared" si="70"/>
        <v>0</v>
      </c>
      <c r="BA390" s="141"/>
      <c r="IH390" s="142"/>
      <c r="II390" s="142"/>
      <c r="IJ390" s="142"/>
      <c r="IK390" s="142"/>
      <c r="IL390" s="142"/>
      <c r="IM390" s="142"/>
      <c r="IN390" s="142"/>
    </row>
    <row r="391" s="135" customFormat="1" ht="12.95" customHeight="1" spans="1:248">
      <c r="A391" s="154"/>
      <c r="B391" s="184"/>
      <c r="C391" s="184"/>
      <c r="D391" s="184"/>
      <c r="E391" s="184"/>
      <c r="F391" s="184"/>
      <c r="G391" s="184"/>
      <c r="H391" s="165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  <c r="AA391" s="184"/>
      <c r="AB391" s="184"/>
      <c r="AC391" s="184"/>
      <c r="AD391" s="184"/>
      <c r="AE391" s="184"/>
      <c r="AF391" s="160"/>
      <c r="AG391" s="160"/>
      <c r="AH391" s="160"/>
      <c r="AI391" s="160"/>
      <c r="AJ391" s="160"/>
      <c r="AK391" s="160"/>
      <c r="AL391" s="184"/>
      <c r="AM391" s="1"/>
      <c r="AN391" s="168">
        <f t="shared" si="58"/>
        <v>0</v>
      </c>
      <c r="AO391" s="168">
        <f t="shared" si="59"/>
        <v>0</v>
      </c>
      <c r="AP391" s="168">
        <f t="shared" si="60"/>
        <v>0</v>
      </c>
      <c r="AQ391" s="168">
        <f t="shared" si="61"/>
        <v>0</v>
      </c>
      <c r="AR391" s="168">
        <f t="shared" si="62"/>
        <v>0</v>
      </c>
      <c r="AS391" s="168">
        <f t="shared" si="63"/>
        <v>0</v>
      </c>
      <c r="AT391" s="168">
        <f t="shared" si="64"/>
        <v>0</v>
      </c>
      <c r="AU391" s="168">
        <f t="shared" si="65"/>
        <v>0</v>
      </c>
      <c r="AV391" s="168">
        <f t="shared" si="66"/>
        <v>0</v>
      </c>
      <c r="AW391" s="168">
        <f t="shared" si="67"/>
        <v>0</v>
      </c>
      <c r="AX391" s="168">
        <f t="shared" si="68"/>
        <v>0</v>
      </c>
      <c r="AY391" s="168">
        <f t="shared" si="69"/>
        <v>0</v>
      </c>
      <c r="AZ391" s="168">
        <f t="shared" si="70"/>
        <v>0</v>
      </c>
      <c r="BA391" s="141"/>
      <c r="IH391" s="142"/>
      <c r="II391" s="142"/>
      <c r="IJ391" s="142"/>
      <c r="IK391" s="142"/>
      <c r="IL391" s="142"/>
      <c r="IM391" s="142"/>
      <c r="IN391" s="142"/>
    </row>
    <row r="392" s="135" customFormat="1" ht="12.95" customHeight="1" spans="1:248">
      <c r="A392" s="154"/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  <c r="AA392" s="184"/>
      <c r="AB392" s="184"/>
      <c r="AC392" s="184"/>
      <c r="AD392" s="184"/>
      <c r="AE392" s="184"/>
      <c r="AF392" s="160"/>
      <c r="AG392" s="160"/>
      <c r="AH392" s="160"/>
      <c r="AI392" s="160"/>
      <c r="AJ392" s="160"/>
      <c r="AK392" s="160"/>
      <c r="AL392" s="184"/>
      <c r="AM392" s="1"/>
      <c r="AN392" s="168">
        <f t="shared" si="58"/>
        <v>0</v>
      </c>
      <c r="AO392" s="168">
        <f t="shared" si="59"/>
        <v>0</v>
      </c>
      <c r="AP392" s="168">
        <f t="shared" si="60"/>
        <v>0</v>
      </c>
      <c r="AQ392" s="168">
        <f t="shared" si="61"/>
        <v>0</v>
      </c>
      <c r="AR392" s="168">
        <f t="shared" si="62"/>
        <v>0</v>
      </c>
      <c r="AS392" s="168">
        <f t="shared" si="63"/>
        <v>0</v>
      </c>
      <c r="AT392" s="168">
        <f t="shared" si="64"/>
        <v>0</v>
      </c>
      <c r="AU392" s="168">
        <f t="shared" si="65"/>
        <v>0</v>
      </c>
      <c r="AV392" s="168">
        <f t="shared" si="66"/>
        <v>0</v>
      </c>
      <c r="AW392" s="168">
        <f t="shared" si="67"/>
        <v>0</v>
      </c>
      <c r="AX392" s="168">
        <f t="shared" si="68"/>
        <v>0</v>
      </c>
      <c r="AY392" s="168">
        <f t="shared" si="69"/>
        <v>0</v>
      </c>
      <c r="AZ392" s="168">
        <f t="shared" si="70"/>
        <v>0</v>
      </c>
      <c r="BA392" s="141"/>
      <c r="IH392" s="142"/>
      <c r="II392" s="142"/>
      <c r="IJ392" s="142"/>
      <c r="IK392" s="142"/>
      <c r="IL392" s="142"/>
      <c r="IM392" s="142"/>
      <c r="IN392" s="142"/>
    </row>
    <row r="393" s="135" customFormat="1" ht="12.95" customHeight="1" spans="1:248">
      <c r="A393" s="154"/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  <c r="AA393" s="184"/>
      <c r="AB393" s="184"/>
      <c r="AC393" s="184"/>
      <c r="AD393" s="184"/>
      <c r="AE393" s="184"/>
      <c r="AF393" s="160"/>
      <c r="AG393" s="160"/>
      <c r="AH393" s="160"/>
      <c r="AI393" s="160"/>
      <c r="AJ393" s="160"/>
      <c r="AK393" s="160"/>
      <c r="AL393" s="184"/>
      <c r="AM393" s="1"/>
      <c r="AN393" s="168">
        <f t="shared" si="58"/>
        <v>0</v>
      </c>
      <c r="AO393" s="168">
        <f t="shared" si="59"/>
        <v>0</v>
      </c>
      <c r="AP393" s="168">
        <f t="shared" si="60"/>
        <v>0</v>
      </c>
      <c r="AQ393" s="168">
        <f t="shared" si="61"/>
        <v>0</v>
      </c>
      <c r="AR393" s="168">
        <f t="shared" si="62"/>
        <v>0</v>
      </c>
      <c r="AS393" s="168">
        <f t="shared" si="63"/>
        <v>0</v>
      </c>
      <c r="AT393" s="168">
        <f t="shared" si="64"/>
        <v>0</v>
      </c>
      <c r="AU393" s="168">
        <f t="shared" si="65"/>
        <v>0</v>
      </c>
      <c r="AV393" s="168">
        <f t="shared" si="66"/>
        <v>0</v>
      </c>
      <c r="AW393" s="168">
        <f t="shared" si="67"/>
        <v>0</v>
      </c>
      <c r="AX393" s="168">
        <f t="shared" si="68"/>
        <v>0</v>
      </c>
      <c r="AY393" s="168">
        <f t="shared" si="69"/>
        <v>0</v>
      </c>
      <c r="AZ393" s="168">
        <f t="shared" si="70"/>
        <v>0</v>
      </c>
      <c r="BA393" s="141"/>
      <c r="IH393" s="142"/>
      <c r="II393" s="142"/>
      <c r="IJ393" s="142"/>
      <c r="IK393" s="142"/>
      <c r="IL393" s="142"/>
      <c r="IM393" s="142"/>
      <c r="IN393" s="142"/>
    </row>
    <row r="394" s="135" customFormat="1" ht="12.95" customHeight="1" spans="1:248">
      <c r="A394" s="154"/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  <c r="AA394" s="184"/>
      <c r="AB394" s="184"/>
      <c r="AC394" s="184"/>
      <c r="AD394" s="184"/>
      <c r="AE394" s="184"/>
      <c r="AF394" s="160"/>
      <c r="AG394" s="160"/>
      <c r="AH394" s="160"/>
      <c r="AI394" s="160"/>
      <c r="AJ394" s="160"/>
      <c r="AK394" s="160"/>
      <c r="AL394" s="184"/>
      <c r="AM394" s="1"/>
      <c r="AN394" s="168">
        <f t="shared" si="58"/>
        <v>0</v>
      </c>
      <c r="AO394" s="168">
        <f t="shared" si="59"/>
        <v>0</v>
      </c>
      <c r="AP394" s="168">
        <f t="shared" si="60"/>
        <v>0</v>
      </c>
      <c r="AQ394" s="168">
        <f t="shared" si="61"/>
        <v>0</v>
      </c>
      <c r="AR394" s="168">
        <f t="shared" si="62"/>
        <v>0</v>
      </c>
      <c r="AS394" s="168">
        <f t="shared" si="63"/>
        <v>0</v>
      </c>
      <c r="AT394" s="168">
        <f t="shared" si="64"/>
        <v>0</v>
      </c>
      <c r="AU394" s="168">
        <f t="shared" si="65"/>
        <v>0</v>
      </c>
      <c r="AV394" s="168">
        <f t="shared" si="66"/>
        <v>0</v>
      </c>
      <c r="AW394" s="168">
        <f t="shared" si="67"/>
        <v>0</v>
      </c>
      <c r="AX394" s="168">
        <f t="shared" si="68"/>
        <v>0</v>
      </c>
      <c r="AY394" s="168">
        <f t="shared" si="69"/>
        <v>0</v>
      </c>
      <c r="AZ394" s="168">
        <f t="shared" si="70"/>
        <v>0</v>
      </c>
      <c r="BA394" s="141"/>
      <c r="IH394" s="142"/>
      <c r="II394" s="142"/>
      <c r="IJ394" s="142"/>
      <c r="IK394" s="142"/>
      <c r="IL394" s="142"/>
      <c r="IM394" s="142"/>
      <c r="IN394" s="142"/>
    </row>
    <row r="395" s="135" customFormat="1" ht="12.95" customHeight="1" spans="1:248">
      <c r="A395" s="154"/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  <c r="AA395" s="184"/>
      <c r="AB395" s="184"/>
      <c r="AC395" s="184"/>
      <c r="AD395" s="184"/>
      <c r="AE395" s="184"/>
      <c r="AF395" s="160"/>
      <c r="AG395" s="160"/>
      <c r="AH395" s="160"/>
      <c r="AI395" s="160"/>
      <c r="AJ395" s="160"/>
      <c r="AK395" s="160"/>
      <c r="AL395" s="184"/>
      <c r="AM395" s="1"/>
      <c r="AN395" s="168">
        <f t="shared" si="58"/>
        <v>0</v>
      </c>
      <c r="AO395" s="168">
        <f t="shared" si="59"/>
        <v>0</v>
      </c>
      <c r="AP395" s="168">
        <f t="shared" si="60"/>
        <v>0</v>
      </c>
      <c r="AQ395" s="168">
        <f t="shared" si="61"/>
        <v>0</v>
      </c>
      <c r="AR395" s="168">
        <f t="shared" si="62"/>
        <v>0</v>
      </c>
      <c r="AS395" s="168">
        <f t="shared" si="63"/>
        <v>0</v>
      </c>
      <c r="AT395" s="168">
        <f t="shared" si="64"/>
        <v>0</v>
      </c>
      <c r="AU395" s="168">
        <f t="shared" si="65"/>
        <v>0</v>
      </c>
      <c r="AV395" s="168">
        <f t="shared" si="66"/>
        <v>0</v>
      </c>
      <c r="AW395" s="168">
        <f t="shared" si="67"/>
        <v>0</v>
      </c>
      <c r="AX395" s="168">
        <f t="shared" si="68"/>
        <v>0</v>
      </c>
      <c r="AY395" s="168">
        <f t="shared" si="69"/>
        <v>0</v>
      </c>
      <c r="AZ395" s="168">
        <f t="shared" si="70"/>
        <v>0</v>
      </c>
      <c r="BA395" s="141"/>
      <c r="IH395" s="142"/>
      <c r="II395" s="142"/>
      <c r="IJ395" s="142"/>
      <c r="IK395" s="142"/>
      <c r="IL395" s="142"/>
      <c r="IM395" s="142"/>
      <c r="IN395" s="142"/>
    </row>
    <row r="396" s="135" customFormat="1" ht="12.95" customHeight="1" spans="1:248">
      <c r="A396" s="154"/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  <c r="AA396" s="184"/>
      <c r="AB396" s="184"/>
      <c r="AC396" s="184"/>
      <c r="AD396" s="184"/>
      <c r="AE396" s="184"/>
      <c r="AF396" s="160"/>
      <c r="AG396" s="160"/>
      <c r="AH396" s="160"/>
      <c r="AI396" s="160"/>
      <c r="AJ396" s="160"/>
      <c r="AK396" s="160"/>
      <c r="AL396" s="184"/>
      <c r="AM396" s="1"/>
      <c r="AN396" s="168">
        <f t="shared" si="58"/>
        <v>0</v>
      </c>
      <c r="AO396" s="168">
        <f t="shared" si="59"/>
        <v>0</v>
      </c>
      <c r="AP396" s="168">
        <f t="shared" si="60"/>
        <v>0</v>
      </c>
      <c r="AQ396" s="168">
        <f t="shared" si="61"/>
        <v>0</v>
      </c>
      <c r="AR396" s="168">
        <f t="shared" si="62"/>
        <v>0</v>
      </c>
      <c r="AS396" s="168">
        <f t="shared" si="63"/>
        <v>0</v>
      </c>
      <c r="AT396" s="168">
        <f t="shared" si="64"/>
        <v>0</v>
      </c>
      <c r="AU396" s="168">
        <f t="shared" si="65"/>
        <v>0</v>
      </c>
      <c r="AV396" s="168">
        <f t="shared" si="66"/>
        <v>0</v>
      </c>
      <c r="AW396" s="168">
        <f t="shared" si="67"/>
        <v>0</v>
      </c>
      <c r="AX396" s="168">
        <f t="shared" si="68"/>
        <v>0</v>
      </c>
      <c r="AY396" s="168">
        <f t="shared" si="69"/>
        <v>0</v>
      </c>
      <c r="AZ396" s="168">
        <f t="shared" si="70"/>
        <v>0</v>
      </c>
      <c r="BA396" s="141"/>
      <c r="IH396" s="142"/>
      <c r="II396" s="142"/>
      <c r="IJ396" s="142"/>
      <c r="IK396" s="142"/>
      <c r="IL396" s="142"/>
      <c r="IM396" s="142"/>
      <c r="IN396" s="142"/>
    </row>
    <row r="397" s="135" customFormat="1" ht="12.95" customHeight="1" spans="1:248">
      <c r="A397" s="154"/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  <c r="AA397" s="184"/>
      <c r="AB397" s="184"/>
      <c r="AC397" s="184"/>
      <c r="AD397" s="184"/>
      <c r="AE397" s="184"/>
      <c r="AF397" s="160"/>
      <c r="AG397" s="160"/>
      <c r="AH397" s="160"/>
      <c r="AI397" s="160"/>
      <c r="AJ397" s="160"/>
      <c r="AK397" s="160"/>
      <c r="AL397" s="184"/>
      <c r="AM397" s="1"/>
      <c r="AN397" s="168">
        <f t="shared" si="58"/>
        <v>0</v>
      </c>
      <c r="AO397" s="168">
        <f t="shared" si="59"/>
        <v>0</v>
      </c>
      <c r="AP397" s="168">
        <f t="shared" si="60"/>
        <v>0</v>
      </c>
      <c r="AQ397" s="168">
        <f t="shared" si="61"/>
        <v>0</v>
      </c>
      <c r="AR397" s="168">
        <f t="shared" si="62"/>
        <v>0</v>
      </c>
      <c r="AS397" s="168">
        <f t="shared" si="63"/>
        <v>0</v>
      </c>
      <c r="AT397" s="168">
        <f t="shared" si="64"/>
        <v>0</v>
      </c>
      <c r="AU397" s="168">
        <f t="shared" si="65"/>
        <v>0</v>
      </c>
      <c r="AV397" s="168">
        <f t="shared" si="66"/>
        <v>0</v>
      </c>
      <c r="AW397" s="168">
        <f t="shared" si="67"/>
        <v>0</v>
      </c>
      <c r="AX397" s="168">
        <f t="shared" si="68"/>
        <v>0</v>
      </c>
      <c r="AY397" s="168">
        <f t="shared" si="69"/>
        <v>0</v>
      </c>
      <c r="AZ397" s="168">
        <f t="shared" si="70"/>
        <v>0</v>
      </c>
      <c r="BA397" s="141"/>
      <c r="IH397" s="142"/>
      <c r="II397" s="142"/>
      <c r="IJ397" s="142"/>
      <c r="IK397" s="142"/>
      <c r="IL397" s="142"/>
      <c r="IM397" s="142"/>
      <c r="IN397" s="142"/>
    </row>
    <row r="398" s="135" customFormat="1" ht="12.95" customHeight="1" spans="1:248">
      <c r="A398" s="154"/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  <c r="AA398" s="184"/>
      <c r="AB398" s="184"/>
      <c r="AC398" s="184"/>
      <c r="AD398" s="184"/>
      <c r="AE398" s="184"/>
      <c r="AF398" s="160"/>
      <c r="AG398" s="160"/>
      <c r="AH398" s="160"/>
      <c r="AI398" s="160"/>
      <c r="AJ398" s="160"/>
      <c r="AK398" s="160"/>
      <c r="AL398" s="184"/>
      <c r="AM398" s="1"/>
      <c r="AN398" s="168">
        <f t="shared" si="58"/>
        <v>0</v>
      </c>
      <c r="AO398" s="168">
        <f t="shared" si="59"/>
        <v>0</v>
      </c>
      <c r="AP398" s="168">
        <f t="shared" si="60"/>
        <v>0</v>
      </c>
      <c r="AQ398" s="168">
        <f t="shared" si="61"/>
        <v>0</v>
      </c>
      <c r="AR398" s="168">
        <f t="shared" si="62"/>
        <v>0</v>
      </c>
      <c r="AS398" s="168">
        <f t="shared" si="63"/>
        <v>0</v>
      </c>
      <c r="AT398" s="168">
        <f t="shared" si="64"/>
        <v>0</v>
      </c>
      <c r="AU398" s="168">
        <f t="shared" si="65"/>
        <v>0</v>
      </c>
      <c r="AV398" s="168">
        <f t="shared" si="66"/>
        <v>0</v>
      </c>
      <c r="AW398" s="168">
        <f t="shared" si="67"/>
        <v>0</v>
      </c>
      <c r="AX398" s="168">
        <f t="shared" si="68"/>
        <v>0</v>
      </c>
      <c r="AY398" s="168">
        <f t="shared" si="69"/>
        <v>0</v>
      </c>
      <c r="AZ398" s="168">
        <f t="shared" si="70"/>
        <v>0</v>
      </c>
      <c r="BA398" s="141"/>
      <c r="IH398" s="142"/>
      <c r="II398" s="142"/>
      <c r="IJ398" s="142"/>
      <c r="IK398" s="142"/>
      <c r="IL398" s="142"/>
      <c r="IM398" s="142"/>
      <c r="IN398" s="142"/>
    </row>
    <row r="399" s="135" customFormat="1" ht="12.95" customHeight="1" spans="1:248">
      <c r="A399" s="154"/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  <c r="AA399" s="184"/>
      <c r="AB399" s="184"/>
      <c r="AC399" s="184"/>
      <c r="AD399" s="184"/>
      <c r="AE399" s="184"/>
      <c r="AF399" s="160"/>
      <c r="AG399" s="160"/>
      <c r="AH399" s="160"/>
      <c r="AI399" s="160"/>
      <c r="AJ399" s="160"/>
      <c r="AK399" s="160"/>
      <c r="AL399" s="184"/>
      <c r="AM399" s="1"/>
      <c r="AN399" s="168">
        <f t="shared" si="58"/>
        <v>0</v>
      </c>
      <c r="AO399" s="168">
        <f t="shared" si="59"/>
        <v>0</v>
      </c>
      <c r="AP399" s="168">
        <f t="shared" si="60"/>
        <v>0</v>
      </c>
      <c r="AQ399" s="168">
        <f t="shared" si="61"/>
        <v>0</v>
      </c>
      <c r="AR399" s="168">
        <f t="shared" si="62"/>
        <v>0</v>
      </c>
      <c r="AS399" s="168">
        <f t="shared" si="63"/>
        <v>0</v>
      </c>
      <c r="AT399" s="168">
        <f t="shared" si="64"/>
        <v>0</v>
      </c>
      <c r="AU399" s="168">
        <f t="shared" si="65"/>
        <v>0</v>
      </c>
      <c r="AV399" s="168">
        <f t="shared" si="66"/>
        <v>0</v>
      </c>
      <c r="AW399" s="168">
        <f t="shared" si="67"/>
        <v>0</v>
      </c>
      <c r="AX399" s="168">
        <f t="shared" si="68"/>
        <v>0</v>
      </c>
      <c r="AY399" s="168">
        <f t="shared" si="69"/>
        <v>0</v>
      </c>
      <c r="AZ399" s="168">
        <f t="shared" si="70"/>
        <v>0</v>
      </c>
      <c r="BA399" s="141"/>
      <c r="IH399" s="142"/>
      <c r="II399" s="142"/>
      <c r="IJ399" s="142"/>
      <c r="IK399" s="142"/>
      <c r="IL399" s="142"/>
      <c r="IM399" s="142"/>
      <c r="IN399" s="142"/>
    </row>
    <row r="400" s="135" customFormat="1" ht="12.95" customHeight="1" spans="1:248">
      <c r="A400" s="154"/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  <c r="AA400" s="184"/>
      <c r="AB400" s="184"/>
      <c r="AC400" s="184"/>
      <c r="AD400" s="184"/>
      <c r="AE400" s="184"/>
      <c r="AF400" s="160"/>
      <c r="AG400" s="160"/>
      <c r="AH400" s="160"/>
      <c r="AI400" s="160"/>
      <c r="AJ400" s="160"/>
      <c r="AK400" s="160"/>
      <c r="AL400" s="184"/>
      <c r="AM400" s="1"/>
      <c r="AN400" s="168">
        <f t="shared" si="58"/>
        <v>0</v>
      </c>
      <c r="AO400" s="168">
        <f t="shared" si="59"/>
        <v>0</v>
      </c>
      <c r="AP400" s="168">
        <f t="shared" si="60"/>
        <v>0</v>
      </c>
      <c r="AQ400" s="168">
        <f t="shared" si="61"/>
        <v>0</v>
      </c>
      <c r="AR400" s="168">
        <f t="shared" si="62"/>
        <v>0</v>
      </c>
      <c r="AS400" s="168">
        <f t="shared" si="63"/>
        <v>0</v>
      </c>
      <c r="AT400" s="168">
        <f t="shared" si="64"/>
        <v>0</v>
      </c>
      <c r="AU400" s="168">
        <f t="shared" si="65"/>
        <v>0</v>
      </c>
      <c r="AV400" s="168">
        <f t="shared" si="66"/>
        <v>0</v>
      </c>
      <c r="AW400" s="168">
        <f t="shared" si="67"/>
        <v>0</v>
      </c>
      <c r="AX400" s="168">
        <f t="shared" si="68"/>
        <v>0</v>
      </c>
      <c r="AY400" s="168">
        <f t="shared" si="69"/>
        <v>0</v>
      </c>
      <c r="AZ400" s="168">
        <f t="shared" si="70"/>
        <v>0</v>
      </c>
      <c r="BA400" s="141"/>
      <c r="IH400" s="142"/>
      <c r="II400" s="142"/>
      <c r="IJ400" s="142"/>
      <c r="IK400" s="142"/>
      <c r="IL400" s="142"/>
      <c r="IM400" s="142"/>
      <c r="IN400" s="142"/>
    </row>
    <row r="401" s="135" customFormat="1" ht="12.95" customHeight="1" spans="1:248">
      <c r="A401" s="154"/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  <c r="AA401" s="184"/>
      <c r="AB401" s="184"/>
      <c r="AC401" s="184"/>
      <c r="AD401" s="184"/>
      <c r="AE401" s="184"/>
      <c r="AF401" s="160"/>
      <c r="AG401" s="160"/>
      <c r="AH401" s="160"/>
      <c r="AI401" s="160"/>
      <c r="AJ401" s="160"/>
      <c r="AK401" s="160"/>
      <c r="AL401" s="184"/>
      <c r="AM401" s="1"/>
      <c r="AN401" s="168">
        <f t="shared" si="58"/>
        <v>0</v>
      </c>
      <c r="AO401" s="168">
        <f t="shared" si="59"/>
        <v>0</v>
      </c>
      <c r="AP401" s="168">
        <f t="shared" si="60"/>
        <v>0</v>
      </c>
      <c r="AQ401" s="168">
        <f t="shared" si="61"/>
        <v>0</v>
      </c>
      <c r="AR401" s="168">
        <f t="shared" si="62"/>
        <v>0</v>
      </c>
      <c r="AS401" s="168">
        <f t="shared" si="63"/>
        <v>0</v>
      </c>
      <c r="AT401" s="168">
        <f t="shared" si="64"/>
        <v>0</v>
      </c>
      <c r="AU401" s="168">
        <f t="shared" si="65"/>
        <v>0</v>
      </c>
      <c r="AV401" s="168">
        <f t="shared" si="66"/>
        <v>0</v>
      </c>
      <c r="AW401" s="168">
        <f t="shared" si="67"/>
        <v>0</v>
      </c>
      <c r="AX401" s="168">
        <f t="shared" si="68"/>
        <v>0</v>
      </c>
      <c r="AY401" s="168">
        <f t="shared" si="69"/>
        <v>0</v>
      </c>
      <c r="AZ401" s="168">
        <f t="shared" si="70"/>
        <v>0</v>
      </c>
      <c r="BA401" s="141"/>
      <c r="IH401" s="142"/>
      <c r="II401" s="142"/>
      <c r="IJ401" s="142"/>
      <c r="IK401" s="142"/>
      <c r="IL401" s="142"/>
      <c r="IM401" s="142"/>
      <c r="IN401" s="142"/>
    </row>
    <row r="402" s="135" customFormat="1" ht="12.95" customHeight="1" spans="1:248">
      <c r="A402" s="154"/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  <c r="AA402" s="184"/>
      <c r="AB402" s="184"/>
      <c r="AC402" s="184"/>
      <c r="AD402" s="184"/>
      <c r="AE402" s="184"/>
      <c r="AF402" s="160"/>
      <c r="AG402" s="160"/>
      <c r="AH402" s="160"/>
      <c r="AI402" s="160"/>
      <c r="AJ402" s="160"/>
      <c r="AK402" s="160"/>
      <c r="AL402" s="184"/>
      <c r="AM402" s="1"/>
      <c r="AN402" s="168">
        <f t="shared" si="58"/>
        <v>0</v>
      </c>
      <c r="AO402" s="168">
        <f t="shared" si="59"/>
        <v>0</v>
      </c>
      <c r="AP402" s="168">
        <f t="shared" si="60"/>
        <v>0</v>
      </c>
      <c r="AQ402" s="168">
        <f t="shared" si="61"/>
        <v>0</v>
      </c>
      <c r="AR402" s="168">
        <f t="shared" si="62"/>
        <v>0</v>
      </c>
      <c r="AS402" s="168">
        <f t="shared" si="63"/>
        <v>0</v>
      </c>
      <c r="AT402" s="168">
        <f t="shared" si="64"/>
        <v>0</v>
      </c>
      <c r="AU402" s="168">
        <f t="shared" si="65"/>
        <v>0</v>
      </c>
      <c r="AV402" s="168">
        <f t="shared" si="66"/>
        <v>0</v>
      </c>
      <c r="AW402" s="168">
        <f t="shared" si="67"/>
        <v>0</v>
      </c>
      <c r="AX402" s="168">
        <f t="shared" si="68"/>
        <v>0</v>
      </c>
      <c r="AY402" s="168">
        <f t="shared" si="69"/>
        <v>0</v>
      </c>
      <c r="AZ402" s="168">
        <f t="shared" si="70"/>
        <v>0</v>
      </c>
      <c r="BA402" s="141"/>
      <c r="IH402" s="142"/>
      <c r="II402" s="142"/>
      <c r="IJ402" s="142"/>
      <c r="IK402" s="142"/>
      <c r="IL402" s="142"/>
      <c r="IM402" s="142"/>
      <c r="IN402" s="142"/>
    </row>
    <row r="403" s="135" customFormat="1" ht="12.95" customHeight="1" spans="1:248">
      <c r="A403" s="154"/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  <c r="AA403" s="184"/>
      <c r="AB403" s="184"/>
      <c r="AC403" s="184"/>
      <c r="AD403" s="184"/>
      <c r="AE403" s="184"/>
      <c r="AF403" s="160"/>
      <c r="AG403" s="160"/>
      <c r="AH403" s="160"/>
      <c r="AI403" s="160"/>
      <c r="AJ403" s="160"/>
      <c r="AK403" s="160"/>
      <c r="AL403" s="184"/>
      <c r="AM403" s="1"/>
      <c r="AN403" s="168">
        <f t="shared" si="58"/>
        <v>0</v>
      </c>
      <c r="AO403" s="168">
        <f t="shared" si="59"/>
        <v>0</v>
      </c>
      <c r="AP403" s="168">
        <f t="shared" si="60"/>
        <v>0</v>
      </c>
      <c r="AQ403" s="168">
        <f t="shared" si="61"/>
        <v>0</v>
      </c>
      <c r="AR403" s="168">
        <f t="shared" si="62"/>
        <v>0</v>
      </c>
      <c r="AS403" s="168">
        <f t="shared" si="63"/>
        <v>0</v>
      </c>
      <c r="AT403" s="168">
        <f t="shared" si="64"/>
        <v>0</v>
      </c>
      <c r="AU403" s="168">
        <f t="shared" si="65"/>
        <v>0</v>
      </c>
      <c r="AV403" s="168">
        <f t="shared" si="66"/>
        <v>0</v>
      </c>
      <c r="AW403" s="168">
        <f t="shared" si="67"/>
        <v>0</v>
      </c>
      <c r="AX403" s="168">
        <f t="shared" si="68"/>
        <v>0</v>
      </c>
      <c r="AY403" s="168">
        <f t="shared" si="69"/>
        <v>0</v>
      </c>
      <c r="AZ403" s="168">
        <f t="shared" si="70"/>
        <v>0</v>
      </c>
      <c r="BA403" s="141"/>
      <c r="IH403" s="142"/>
      <c r="II403" s="142"/>
      <c r="IJ403" s="142"/>
      <c r="IK403" s="142"/>
      <c r="IL403" s="142"/>
      <c r="IM403" s="142"/>
      <c r="IN403" s="142"/>
    </row>
    <row r="404" s="135" customFormat="1" ht="12.95" customHeight="1" spans="1:248">
      <c r="A404" s="154"/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  <c r="AA404" s="184"/>
      <c r="AB404" s="184"/>
      <c r="AC404" s="184"/>
      <c r="AD404" s="184"/>
      <c r="AE404" s="184"/>
      <c r="AF404" s="160"/>
      <c r="AG404" s="160"/>
      <c r="AH404" s="160"/>
      <c r="AI404" s="160"/>
      <c r="AJ404" s="160"/>
      <c r="AK404" s="160"/>
      <c r="AL404" s="184"/>
      <c r="AM404" s="1"/>
      <c r="AN404" s="168">
        <f t="shared" si="58"/>
        <v>0</v>
      </c>
      <c r="AO404" s="168">
        <f t="shared" si="59"/>
        <v>0</v>
      </c>
      <c r="AP404" s="168">
        <f t="shared" si="60"/>
        <v>0</v>
      </c>
      <c r="AQ404" s="168">
        <f t="shared" si="61"/>
        <v>0</v>
      </c>
      <c r="AR404" s="168">
        <f t="shared" si="62"/>
        <v>0</v>
      </c>
      <c r="AS404" s="168">
        <f t="shared" si="63"/>
        <v>0</v>
      </c>
      <c r="AT404" s="168">
        <f t="shared" si="64"/>
        <v>0</v>
      </c>
      <c r="AU404" s="168">
        <f t="shared" si="65"/>
        <v>0</v>
      </c>
      <c r="AV404" s="168">
        <f t="shared" si="66"/>
        <v>0</v>
      </c>
      <c r="AW404" s="168">
        <f t="shared" si="67"/>
        <v>0</v>
      </c>
      <c r="AX404" s="168">
        <f t="shared" si="68"/>
        <v>0</v>
      </c>
      <c r="AY404" s="168">
        <f t="shared" si="69"/>
        <v>0</v>
      </c>
      <c r="AZ404" s="168">
        <f t="shared" si="70"/>
        <v>0</v>
      </c>
      <c r="BA404" s="141"/>
      <c r="IH404" s="142"/>
      <c r="II404" s="142"/>
      <c r="IJ404" s="142"/>
      <c r="IK404" s="142"/>
      <c r="IL404" s="142"/>
      <c r="IM404" s="142"/>
      <c r="IN404" s="142"/>
    </row>
    <row r="405" s="135" customFormat="1" ht="12.95" customHeight="1" spans="1:248">
      <c r="A405" s="154"/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  <c r="AA405" s="184"/>
      <c r="AB405" s="184"/>
      <c r="AC405" s="184"/>
      <c r="AD405" s="184"/>
      <c r="AE405" s="184"/>
      <c r="AF405" s="160"/>
      <c r="AG405" s="160"/>
      <c r="AH405" s="160"/>
      <c r="AI405" s="160"/>
      <c r="AJ405" s="160"/>
      <c r="AK405" s="160"/>
      <c r="AL405" s="184"/>
      <c r="AM405" s="1"/>
      <c r="AN405" s="168">
        <f t="shared" si="58"/>
        <v>0</v>
      </c>
      <c r="AO405" s="168">
        <f t="shared" si="59"/>
        <v>0</v>
      </c>
      <c r="AP405" s="168">
        <f t="shared" si="60"/>
        <v>0</v>
      </c>
      <c r="AQ405" s="168">
        <f t="shared" si="61"/>
        <v>0</v>
      </c>
      <c r="AR405" s="168">
        <f t="shared" si="62"/>
        <v>0</v>
      </c>
      <c r="AS405" s="168">
        <f t="shared" si="63"/>
        <v>0</v>
      </c>
      <c r="AT405" s="168">
        <f t="shared" si="64"/>
        <v>0</v>
      </c>
      <c r="AU405" s="168">
        <f t="shared" si="65"/>
        <v>0</v>
      </c>
      <c r="AV405" s="168">
        <f t="shared" si="66"/>
        <v>0</v>
      </c>
      <c r="AW405" s="168">
        <f t="shared" si="67"/>
        <v>0</v>
      </c>
      <c r="AX405" s="168">
        <f t="shared" si="68"/>
        <v>0</v>
      </c>
      <c r="AY405" s="168">
        <f t="shared" si="69"/>
        <v>0</v>
      </c>
      <c r="AZ405" s="168">
        <f t="shared" si="70"/>
        <v>0</v>
      </c>
      <c r="BA405" s="141"/>
      <c r="IH405" s="142"/>
      <c r="II405" s="142"/>
      <c r="IJ405" s="142"/>
      <c r="IK405" s="142"/>
      <c r="IL405" s="142"/>
      <c r="IM405" s="142"/>
      <c r="IN405" s="142"/>
    </row>
    <row r="406" s="135" customFormat="1" ht="12.95" customHeight="1" spans="1:248">
      <c r="A406" s="154"/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  <c r="AA406" s="184"/>
      <c r="AB406" s="184"/>
      <c r="AC406" s="184"/>
      <c r="AD406" s="184"/>
      <c r="AE406" s="184"/>
      <c r="AF406" s="160"/>
      <c r="AG406" s="160"/>
      <c r="AH406" s="160"/>
      <c r="AI406" s="160"/>
      <c r="AJ406" s="160"/>
      <c r="AK406" s="160"/>
      <c r="AL406" s="184"/>
      <c r="AM406" s="1"/>
      <c r="AN406" s="168">
        <f t="shared" si="58"/>
        <v>0</v>
      </c>
      <c r="AO406" s="168">
        <f t="shared" si="59"/>
        <v>0</v>
      </c>
      <c r="AP406" s="168">
        <f t="shared" si="60"/>
        <v>0</v>
      </c>
      <c r="AQ406" s="168">
        <f t="shared" si="61"/>
        <v>0</v>
      </c>
      <c r="AR406" s="168">
        <f t="shared" si="62"/>
        <v>0</v>
      </c>
      <c r="AS406" s="168">
        <f t="shared" si="63"/>
        <v>0</v>
      </c>
      <c r="AT406" s="168">
        <f t="shared" si="64"/>
        <v>0</v>
      </c>
      <c r="AU406" s="168">
        <f t="shared" si="65"/>
        <v>0</v>
      </c>
      <c r="AV406" s="168">
        <f t="shared" si="66"/>
        <v>0</v>
      </c>
      <c r="AW406" s="168">
        <f t="shared" si="67"/>
        <v>0</v>
      </c>
      <c r="AX406" s="168">
        <f t="shared" si="68"/>
        <v>0</v>
      </c>
      <c r="AY406" s="168">
        <f t="shared" si="69"/>
        <v>0</v>
      </c>
      <c r="AZ406" s="168">
        <f t="shared" si="70"/>
        <v>0</v>
      </c>
      <c r="BA406" s="141"/>
      <c r="IH406" s="142"/>
      <c r="II406" s="142"/>
      <c r="IJ406" s="142"/>
      <c r="IK406" s="142"/>
      <c r="IL406" s="142"/>
      <c r="IM406" s="142"/>
      <c r="IN406" s="142"/>
    </row>
    <row r="407" s="135" customFormat="1" ht="12.95" customHeight="1" spans="1:248">
      <c r="A407" s="154"/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  <c r="AA407" s="184"/>
      <c r="AB407" s="184"/>
      <c r="AC407" s="184"/>
      <c r="AD407" s="184"/>
      <c r="AE407" s="184"/>
      <c r="AF407" s="160"/>
      <c r="AG407" s="160"/>
      <c r="AH407" s="160"/>
      <c r="AI407" s="160"/>
      <c r="AJ407" s="160"/>
      <c r="AK407" s="160"/>
      <c r="AL407" s="184"/>
      <c r="AM407" s="1"/>
      <c r="AN407" s="168">
        <f t="shared" si="58"/>
        <v>0</v>
      </c>
      <c r="AO407" s="168">
        <f t="shared" si="59"/>
        <v>0</v>
      </c>
      <c r="AP407" s="168">
        <f t="shared" si="60"/>
        <v>0</v>
      </c>
      <c r="AQ407" s="168">
        <f t="shared" si="61"/>
        <v>0</v>
      </c>
      <c r="AR407" s="168">
        <f t="shared" si="62"/>
        <v>0</v>
      </c>
      <c r="AS407" s="168">
        <f t="shared" si="63"/>
        <v>0</v>
      </c>
      <c r="AT407" s="168">
        <f t="shared" si="64"/>
        <v>0</v>
      </c>
      <c r="AU407" s="168">
        <f t="shared" si="65"/>
        <v>0</v>
      </c>
      <c r="AV407" s="168">
        <f t="shared" si="66"/>
        <v>0</v>
      </c>
      <c r="AW407" s="168">
        <f t="shared" si="67"/>
        <v>0</v>
      </c>
      <c r="AX407" s="168">
        <f t="shared" si="68"/>
        <v>0</v>
      </c>
      <c r="AY407" s="168">
        <f t="shared" si="69"/>
        <v>0</v>
      </c>
      <c r="AZ407" s="168">
        <f t="shared" si="70"/>
        <v>0</v>
      </c>
      <c r="BA407" s="141"/>
      <c r="IH407" s="142"/>
      <c r="II407" s="142"/>
      <c r="IJ407" s="142"/>
      <c r="IK407" s="142"/>
      <c r="IL407" s="142"/>
      <c r="IM407" s="142"/>
      <c r="IN407" s="142"/>
    </row>
    <row r="408" s="135" customFormat="1" ht="12.95" customHeight="1" spans="1:248">
      <c r="A408" s="154"/>
      <c r="B408" s="184"/>
      <c r="C408" s="184"/>
      <c r="D408" s="184"/>
      <c r="E408" s="185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  <c r="AA408" s="184"/>
      <c r="AB408" s="184"/>
      <c r="AC408" s="184"/>
      <c r="AD408" s="184"/>
      <c r="AE408" s="184"/>
      <c r="AF408" s="160"/>
      <c r="AG408" s="160"/>
      <c r="AH408" s="160"/>
      <c r="AI408" s="160"/>
      <c r="AJ408" s="160"/>
      <c r="AK408" s="160"/>
      <c r="AL408" s="184"/>
      <c r="AM408" s="1"/>
      <c r="AN408" s="168">
        <f t="shared" si="58"/>
        <v>0</v>
      </c>
      <c r="AO408" s="168">
        <f t="shared" si="59"/>
        <v>0</v>
      </c>
      <c r="AP408" s="168">
        <f t="shared" si="60"/>
        <v>0</v>
      </c>
      <c r="AQ408" s="168">
        <f t="shared" si="61"/>
        <v>0</v>
      </c>
      <c r="AR408" s="168">
        <f t="shared" si="62"/>
        <v>0</v>
      </c>
      <c r="AS408" s="168">
        <f t="shared" si="63"/>
        <v>0</v>
      </c>
      <c r="AT408" s="168">
        <f t="shared" si="64"/>
        <v>0</v>
      </c>
      <c r="AU408" s="168">
        <f t="shared" si="65"/>
        <v>0</v>
      </c>
      <c r="AV408" s="168">
        <f t="shared" si="66"/>
        <v>0</v>
      </c>
      <c r="AW408" s="168">
        <f t="shared" si="67"/>
        <v>0</v>
      </c>
      <c r="AX408" s="168">
        <f t="shared" si="68"/>
        <v>0</v>
      </c>
      <c r="AY408" s="168">
        <f t="shared" si="69"/>
        <v>0</v>
      </c>
      <c r="AZ408" s="168">
        <f t="shared" si="70"/>
        <v>0</v>
      </c>
      <c r="BA408" s="141"/>
      <c r="IH408" s="142"/>
      <c r="II408" s="142"/>
      <c r="IJ408" s="142"/>
      <c r="IK408" s="142"/>
      <c r="IL408" s="142"/>
      <c r="IM408" s="142"/>
      <c r="IN408" s="142"/>
    </row>
    <row r="409" s="135" customFormat="1" ht="12.95" customHeight="1" spans="1:248">
      <c r="A409" s="154"/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  <c r="AA409" s="184"/>
      <c r="AB409" s="184"/>
      <c r="AC409" s="184"/>
      <c r="AD409" s="184"/>
      <c r="AE409" s="184"/>
      <c r="AF409" s="160"/>
      <c r="AG409" s="160"/>
      <c r="AH409" s="160"/>
      <c r="AI409" s="160"/>
      <c r="AJ409" s="160"/>
      <c r="AK409" s="160"/>
      <c r="AL409" s="184"/>
      <c r="AM409" s="1"/>
      <c r="AN409" s="168">
        <f t="shared" si="58"/>
        <v>0</v>
      </c>
      <c r="AO409" s="168">
        <f t="shared" si="59"/>
        <v>0</v>
      </c>
      <c r="AP409" s="168">
        <f t="shared" si="60"/>
        <v>0</v>
      </c>
      <c r="AQ409" s="168">
        <f t="shared" si="61"/>
        <v>0</v>
      </c>
      <c r="AR409" s="168">
        <f t="shared" si="62"/>
        <v>0</v>
      </c>
      <c r="AS409" s="168">
        <f t="shared" si="63"/>
        <v>0</v>
      </c>
      <c r="AT409" s="168">
        <f t="shared" si="64"/>
        <v>0</v>
      </c>
      <c r="AU409" s="168">
        <f t="shared" si="65"/>
        <v>0</v>
      </c>
      <c r="AV409" s="168">
        <f t="shared" si="66"/>
        <v>0</v>
      </c>
      <c r="AW409" s="168">
        <f t="shared" si="67"/>
        <v>0</v>
      </c>
      <c r="AX409" s="168">
        <f t="shared" si="68"/>
        <v>0</v>
      </c>
      <c r="AY409" s="168">
        <f t="shared" si="69"/>
        <v>0</v>
      </c>
      <c r="AZ409" s="168">
        <f t="shared" si="70"/>
        <v>0</v>
      </c>
      <c r="BA409" s="141"/>
      <c r="IH409" s="142"/>
      <c r="II409" s="142"/>
      <c r="IJ409" s="142"/>
      <c r="IK409" s="142"/>
      <c r="IL409" s="142"/>
      <c r="IM409" s="142"/>
      <c r="IN409" s="142"/>
    </row>
    <row r="410" s="135" customFormat="1" ht="12.95" customHeight="1" spans="1:248">
      <c r="A410" s="154"/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  <c r="AA410" s="184"/>
      <c r="AB410" s="184"/>
      <c r="AC410" s="184"/>
      <c r="AD410" s="184"/>
      <c r="AE410" s="184"/>
      <c r="AF410" s="160"/>
      <c r="AG410" s="160"/>
      <c r="AH410" s="160"/>
      <c r="AI410" s="160"/>
      <c r="AJ410" s="160"/>
      <c r="AK410" s="160"/>
      <c r="AL410" s="184"/>
      <c r="AM410" s="1"/>
      <c r="AN410" s="168">
        <f t="shared" si="58"/>
        <v>0</v>
      </c>
      <c r="AO410" s="168">
        <f t="shared" si="59"/>
        <v>0</v>
      </c>
      <c r="AP410" s="168">
        <f t="shared" si="60"/>
        <v>0</v>
      </c>
      <c r="AQ410" s="168">
        <f t="shared" si="61"/>
        <v>0</v>
      </c>
      <c r="AR410" s="168">
        <f t="shared" si="62"/>
        <v>0</v>
      </c>
      <c r="AS410" s="168">
        <f t="shared" si="63"/>
        <v>0</v>
      </c>
      <c r="AT410" s="168">
        <f t="shared" si="64"/>
        <v>0</v>
      </c>
      <c r="AU410" s="168">
        <f t="shared" si="65"/>
        <v>0</v>
      </c>
      <c r="AV410" s="168">
        <f t="shared" si="66"/>
        <v>0</v>
      </c>
      <c r="AW410" s="168">
        <f t="shared" si="67"/>
        <v>0</v>
      </c>
      <c r="AX410" s="168">
        <f t="shared" si="68"/>
        <v>0</v>
      </c>
      <c r="AY410" s="168">
        <f t="shared" si="69"/>
        <v>0</v>
      </c>
      <c r="AZ410" s="168">
        <f t="shared" si="70"/>
        <v>0</v>
      </c>
      <c r="BA410" s="141"/>
      <c r="IH410" s="142"/>
      <c r="II410" s="142"/>
      <c r="IJ410" s="142"/>
      <c r="IK410" s="142"/>
      <c r="IL410" s="142"/>
      <c r="IM410" s="142"/>
      <c r="IN410" s="142"/>
    </row>
    <row r="411" s="135" customFormat="1" ht="12.95" customHeight="1" spans="1:248">
      <c r="A411" s="154"/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  <c r="AA411" s="184"/>
      <c r="AB411" s="184"/>
      <c r="AC411" s="184"/>
      <c r="AD411" s="184"/>
      <c r="AE411" s="184"/>
      <c r="AF411" s="160"/>
      <c r="AG411" s="160"/>
      <c r="AH411" s="160"/>
      <c r="AI411" s="160"/>
      <c r="AJ411" s="160"/>
      <c r="AK411" s="160"/>
      <c r="AL411" s="184"/>
      <c r="AM411" s="1"/>
      <c r="AN411" s="168">
        <f t="shared" si="58"/>
        <v>0</v>
      </c>
      <c r="AO411" s="168">
        <f t="shared" si="59"/>
        <v>0</v>
      </c>
      <c r="AP411" s="168">
        <f t="shared" si="60"/>
        <v>0</v>
      </c>
      <c r="AQ411" s="168">
        <f t="shared" si="61"/>
        <v>0</v>
      </c>
      <c r="AR411" s="168">
        <f t="shared" si="62"/>
        <v>0</v>
      </c>
      <c r="AS411" s="168">
        <f t="shared" si="63"/>
        <v>0</v>
      </c>
      <c r="AT411" s="168">
        <f t="shared" si="64"/>
        <v>0</v>
      </c>
      <c r="AU411" s="168">
        <f t="shared" si="65"/>
        <v>0</v>
      </c>
      <c r="AV411" s="168">
        <f t="shared" si="66"/>
        <v>0</v>
      </c>
      <c r="AW411" s="168">
        <f t="shared" si="67"/>
        <v>0</v>
      </c>
      <c r="AX411" s="168">
        <f t="shared" si="68"/>
        <v>0</v>
      </c>
      <c r="AY411" s="168">
        <f t="shared" si="69"/>
        <v>0</v>
      </c>
      <c r="AZ411" s="168">
        <f t="shared" si="70"/>
        <v>0</v>
      </c>
      <c r="BA411" s="141"/>
      <c r="IH411" s="142"/>
      <c r="II411" s="142"/>
      <c r="IJ411" s="142"/>
      <c r="IK411" s="142"/>
      <c r="IL411" s="142"/>
      <c r="IM411" s="142"/>
      <c r="IN411" s="142"/>
    </row>
    <row r="412" s="135" customFormat="1" ht="12.95" customHeight="1" spans="1:248">
      <c r="A412" s="154"/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  <c r="AA412" s="184"/>
      <c r="AB412" s="184"/>
      <c r="AC412" s="184"/>
      <c r="AD412" s="184"/>
      <c r="AE412" s="184"/>
      <c r="AF412" s="160"/>
      <c r="AG412" s="160"/>
      <c r="AH412" s="160"/>
      <c r="AI412" s="160"/>
      <c r="AJ412" s="160"/>
      <c r="AK412" s="160"/>
      <c r="AL412" s="184"/>
      <c r="AM412" s="1"/>
      <c r="AN412" s="168">
        <f t="shared" si="58"/>
        <v>0</v>
      </c>
      <c r="AO412" s="168">
        <f t="shared" si="59"/>
        <v>0</v>
      </c>
      <c r="AP412" s="168">
        <f t="shared" si="60"/>
        <v>0</v>
      </c>
      <c r="AQ412" s="168">
        <f t="shared" si="61"/>
        <v>0</v>
      </c>
      <c r="AR412" s="168">
        <f t="shared" si="62"/>
        <v>0</v>
      </c>
      <c r="AS412" s="168">
        <f t="shared" si="63"/>
        <v>0</v>
      </c>
      <c r="AT412" s="168">
        <f t="shared" si="64"/>
        <v>0</v>
      </c>
      <c r="AU412" s="168">
        <f t="shared" si="65"/>
        <v>0</v>
      </c>
      <c r="AV412" s="168">
        <f t="shared" si="66"/>
        <v>0</v>
      </c>
      <c r="AW412" s="168">
        <f t="shared" si="67"/>
        <v>0</v>
      </c>
      <c r="AX412" s="168">
        <f t="shared" si="68"/>
        <v>0</v>
      </c>
      <c r="AY412" s="168">
        <f t="shared" si="69"/>
        <v>0</v>
      </c>
      <c r="AZ412" s="168">
        <f t="shared" si="70"/>
        <v>0</v>
      </c>
      <c r="BA412" s="141"/>
      <c r="IH412" s="142"/>
      <c r="II412" s="142"/>
      <c r="IJ412" s="142"/>
      <c r="IK412" s="142"/>
      <c r="IL412" s="142"/>
      <c r="IM412" s="142"/>
      <c r="IN412" s="142"/>
    </row>
    <row r="413" s="135" customFormat="1" ht="12.95" customHeight="1" spans="1:248">
      <c r="A413" s="154"/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  <c r="AA413" s="184"/>
      <c r="AB413" s="184"/>
      <c r="AC413" s="184"/>
      <c r="AD413" s="184"/>
      <c r="AE413" s="184"/>
      <c r="AF413" s="160"/>
      <c r="AG413" s="160"/>
      <c r="AH413" s="160"/>
      <c r="AI413" s="160"/>
      <c r="AJ413" s="160"/>
      <c r="AK413" s="160"/>
      <c r="AL413" s="184"/>
      <c r="AM413" s="1"/>
      <c r="AN413" s="168">
        <f t="shared" si="58"/>
        <v>0</v>
      </c>
      <c r="AO413" s="168">
        <f t="shared" si="59"/>
        <v>0</v>
      </c>
      <c r="AP413" s="168">
        <f t="shared" si="60"/>
        <v>0</v>
      </c>
      <c r="AQ413" s="168">
        <f t="shared" si="61"/>
        <v>0</v>
      </c>
      <c r="AR413" s="168">
        <f t="shared" si="62"/>
        <v>0</v>
      </c>
      <c r="AS413" s="168">
        <f t="shared" si="63"/>
        <v>0</v>
      </c>
      <c r="AT413" s="168">
        <f t="shared" si="64"/>
        <v>0</v>
      </c>
      <c r="AU413" s="168">
        <f t="shared" si="65"/>
        <v>0</v>
      </c>
      <c r="AV413" s="168">
        <f t="shared" si="66"/>
        <v>0</v>
      </c>
      <c r="AW413" s="168">
        <f t="shared" si="67"/>
        <v>0</v>
      </c>
      <c r="AX413" s="168">
        <f t="shared" si="68"/>
        <v>0</v>
      </c>
      <c r="AY413" s="168">
        <f t="shared" si="69"/>
        <v>0</v>
      </c>
      <c r="AZ413" s="168">
        <f t="shared" si="70"/>
        <v>0</v>
      </c>
      <c r="BA413" s="141"/>
      <c r="IH413" s="142"/>
      <c r="II413" s="142"/>
      <c r="IJ413" s="142"/>
      <c r="IK413" s="142"/>
      <c r="IL413" s="142"/>
      <c r="IM413" s="142"/>
      <c r="IN413" s="142"/>
    </row>
    <row r="414" s="135" customFormat="1" ht="12.95" customHeight="1" spans="1:248">
      <c r="A414" s="154"/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  <c r="AA414" s="184"/>
      <c r="AB414" s="184"/>
      <c r="AC414" s="184"/>
      <c r="AD414" s="184"/>
      <c r="AE414" s="184"/>
      <c r="AF414" s="160"/>
      <c r="AG414" s="160"/>
      <c r="AH414" s="160"/>
      <c r="AI414" s="160"/>
      <c r="AJ414" s="160"/>
      <c r="AK414" s="160"/>
      <c r="AL414" s="184"/>
      <c r="AM414" s="1"/>
      <c r="AN414" s="168">
        <f t="shared" si="58"/>
        <v>0</v>
      </c>
      <c r="AO414" s="168">
        <f t="shared" si="59"/>
        <v>0</v>
      </c>
      <c r="AP414" s="168">
        <f t="shared" si="60"/>
        <v>0</v>
      </c>
      <c r="AQ414" s="168">
        <f t="shared" si="61"/>
        <v>0</v>
      </c>
      <c r="AR414" s="168">
        <f t="shared" si="62"/>
        <v>0</v>
      </c>
      <c r="AS414" s="168">
        <f t="shared" si="63"/>
        <v>0</v>
      </c>
      <c r="AT414" s="168">
        <f t="shared" si="64"/>
        <v>0</v>
      </c>
      <c r="AU414" s="168">
        <f t="shared" si="65"/>
        <v>0</v>
      </c>
      <c r="AV414" s="168">
        <f t="shared" si="66"/>
        <v>0</v>
      </c>
      <c r="AW414" s="168">
        <f t="shared" si="67"/>
        <v>0</v>
      </c>
      <c r="AX414" s="168">
        <f t="shared" si="68"/>
        <v>0</v>
      </c>
      <c r="AY414" s="168">
        <f t="shared" si="69"/>
        <v>0</v>
      </c>
      <c r="AZ414" s="168">
        <f t="shared" si="70"/>
        <v>0</v>
      </c>
      <c r="BA414" s="141"/>
      <c r="IH414" s="142"/>
      <c r="II414" s="142"/>
      <c r="IJ414" s="142"/>
      <c r="IK414" s="142"/>
      <c r="IL414" s="142"/>
      <c r="IM414" s="142"/>
      <c r="IN414" s="142"/>
    </row>
    <row r="415" s="135" customFormat="1" ht="12.95" customHeight="1" spans="1:248">
      <c r="A415" s="154"/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  <c r="AA415" s="184"/>
      <c r="AB415" s="184"/>
      <c r="AC415" s="184"/>
      <c r="AD415" s="184"/>
      <c r="AE415" s="184"/>
      <c r="AF415" s="160"/>
      <c r="AG415" s="160"/>
      <c r="AH415" s="160"/>
      <c r="AI415" s="160"/>
      <c r="AJ415" s="160"/>
      <c r="AK415" s="160"/>
      <c r="AL415" s="184"/>
      <c r="AM415" s="1"/>
      <c r="AN415" s="168">
        <f t="shared" si="58"/>
        <v>0</v>
      </c>
      <c r="AO415" s="168">
        <f t="shared" si="59"/>
        <v>0</v>
      </c>
      <c r="AP415" s="168">
        <f t="shared" si="60"/>
        <v>0</v>
      </c>
      <c r="AQ415" s="168">
        <f t="shared" si="61"/>
        <v>0</v>
      </c>
      <c r="AR415" s="168">
        <f t="shared" si="62"/>
        <v>0</v>
      </c>
      <c r="AS415" s="168">
        <f t="shared" si="63"/>
        <v>0</v>
      </c>
      <c r="AT415" s="168">
        <f t="shared" si="64"/>
        <v>0</v>
      </c>
      <c r="AU415" s="168">
        <f t="shared" si="65"/>
        <v>0</v>
      </c>
      <c r="AV415" s="168">
        <f t="shared" si="66"/>
        <v>0</v>
      </c>
      <c r="AW415" s="168">
        <f t="shared" si="67"/>
        <v>0</v>
      </c>
      <c r="AX415" s="168">
        <f t="shared" si="68"/>
        <v>0</v>
      </c>
      <c r="AY415" s="168">
        <f t="shared" si="69"/>
        <v>0</v>
      </c>
      <c r="AZ415" s="168">
        <f t="shared" si="70"/>
        <v>0</v>
      </c>
      <c r="BA415" s="141"/>
      <c r="IH415" s="142"/>
      <c r="II415" s="142"/>
      <c r="IJ415" s="142"/>
      <c r="IK415" s="142"/>
      <c r="IL415" s="142"/>
      <c r="IM415" s="142"/>
      <c r="IN415" s="142"/>
    </row>
    <row r="416" s="135" customFormat="1" ht="12.95" customHeight="1" spans="1:248">
      <c r="A416" s="154"/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  <c r="AA416" s="184"/>
      <c r="AB416" s="184"/>
      <c r="AC416" s="184"/>
      <c r="AD416" s="184"/>
      <c r="AE416" s="184"/>
      <c r="AF416" s="160"/>
      <c r="AG416" s="160"/>
      <c r="AH416" s="160"/>
      <c r="AI416" s="160"/>
      <c r="AJ416" s="160"/>
      <c r="AK416" s="160"/>
      <c r="AL416" s="184"/>
      <c r="AM416" s="1"/>
      <c r="AN416" s="168">
        <f t="shared" si="58"/>
        <v>0</v>
      </c>
      <c r="AO416" s="168">
        <f t="shared" si="59"/>
        <v>0</v>
      </c>
      <c r="AP416" s="168">
        <f t="shared" si="60"/>
        <v>0</v>
      </c>
      <c r="AQ416" s="168">
        <f t="shared" si="61"/>
        <v>0</v>
      </c>
      <c r="AR416" s="168">
        <f t="shared" si="62"/>
        <v>0</v>
      </c>
      <c r="AS416" s="168">
        <f t="shared" si="63"/>
        <v>0</v>
      </c>
      <c r="AT416" s="168">
        <f t="shared" si="64"/>
        <v>0</v>
      </c>
      <c r="AU416" s="168">
        <f t="shared" si="65"/>
        <v>0</v>
      </c>
      <c r="AV416" s="168">
        <f t="shared" si="66"/>
        <v>0</v>
      </c>
      <c r="AW416" s="168">
        <f t="shared" si="67"/>
        <v>0</v>
      </c>
      <c r="AX416" s="168">
        <f t="shared" si="68"/>
        <v>0</v>
      </c>
      <c r="AY416" s="168">
        <f t="shared" si="69"/>
        <v>0</v>
      </c>
      <c r="AZ416" s="168">
        <f t="shared" si="70"/>
        <v>0</v>
      </c>
      <c r="BA416" s="141"/>
      <c r="IH416" s="142"/>
      <c r="II416" s="142"/>
      <c r="IJ416" s="142"/>
      <c r="IK416" s="142"/>
      <c r="IL416" s="142"/>
      <c r="IM416" s="142"/>
      <c r="IN416" s="142"/>
    </row>
    <row r="417" s="135" customFormat="1" ht="12.95" customHeight="1" spans="1:248">
      <c r="A417" s="154"/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  <c r="AA417" s="184"/>
      <c r="AB417" s="184"/>
      <c r="AC417" s="184"/>
      <c r="AD417" s="184"/>
      <c r="AE417" s="184"/>
      <c r="AF417" s="160"/>
      <c r="AG417" s="160"/>
      <c r="AH417" s="160"/>
      <c r="AI417" s="160"/>
      <c r="AJ417" s="160"/>
      <c r="AK417" s="160"/>
      <c r="AL417" s="184"/>
      <c r="AM417" s="1"/>
      <c r="AN417" s="168">
        <f t="shared" si="58"/>
        <v>0</v>
      </c>
      <c r="AO417" s="168">
        <f t="shared" si="59"/>
        <v>0</v>
      </c>
      <c r="AP417" s="168">
        <f t="shared" si="60"/>
        <v>0</v>
      </c>
      <c r="AQ417" s="168">
        <f t="shared" si="61"/>
        <v>0</v>
      </c>
      <c r="AR417" s="168">
        <f t="shared" si="62"/>
        <v>0</v>
      </c>
      <c r="AS417" s="168">
        <f t="shared" si="63"/>
        <v>0</v>
      </c>
      <c r="AT417" s="168">
        <f t="shared" si="64"/>
        <v>0</v>
      </c>
      <c r="AU417" s="168">
        <f t="shared" si="65"/>
        <v>0</v>
      </c>
      <c r="AV417" s="168">
        <f t="shared" si="66"/>
        <v>0</v>
      </c>
      <c r="AW417" s="168">
        <f t="shared" si="67"/>
        <v>0</v>
      </c>
      <c r="AX417" s="168">
        <f t="shared" si="68"/>
        <v>0</v>
      </c>
      <c r="AY417" s="168">
        <f t="shared" si="69"/>
        <v>0</v>
      </c>
      <c r="AZ417" s="168">
        <f t="shared" si="70"/>
        <v>0</v>
      </c>
      <c r="BA417" s="141"/>
      <c r="IH417" s="142"/>
      <c r="II417" s="142"/>
      <c r="IJ417" s="142"/>
      <c r="IK417" s="142"/>
      <c r="IL417" s="142"/>
      <c r="IM417" s="142"/>
      <c r="IN417" s="142"/>
    </row>
    <row r="418" s="135" customFormat="1" ht="12.95" customHeight="1" spans="1:248">
      <c r="A418" s="154"/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  <c r="AA418" s="184"/>
      <c r="AB418" s="184"/>
      <c r="AC418" s="184"/>
      <c r="AD418" s="184"/>
      <c r="AE418" s="184"/>
      <c r="AF418" s="160"/>
      <c r="AG418" s="160"/>
      <c r="AH418" s="160"/>
      <c r="AI418" s="160"/>
      <c r="AJ418" s="160"/>
      <c r="AK418" s="160"/>
      <c r="AL418" s="184"/>
      <c r="AM418" s="1"/>
      <c r="AN418" s="168">
        <f t="shared" si="58"/>
        <v>0</v>
      </c>
      <c r="AO418" s="168">
        <f t="shared" si="59"/>
        <v>0</v>
      </c>
      <c r="AP418" s="168">
        <f t="shared" si="60"/>
        <v>0</v>
      </c>
      <c r="AQ418" s="168">
        <f t="shared" si="61"/>
        <v>0</v>
      </c>
      <c r="AR418" s="168">
        <f t="shared" si="62"/>
        <v>0</v>
      </c>
      <c r="AS418" s="168">
        <f t="shared" si="63"/>
        <v>0</v>
      </c>
      <c r="AT418" s="168">
        <f t="shared" si="64"/>
        <v>0</v>
      </c>
      <c r="AU418" s="168">
        <f t="shared" si="65"/>
        <v>0</v>
      </c>
      <c r="AV418" s="168">
        <f t="shared" si="66"/>
        <v>0</v>
      </c>
      <c r="AW418" s="168">
        <f t="shared" si="67"/>
        <v>0</v>
      </c>
      <c r="AX418" s="168">
        <f t="shared" si="68"/>
        <v>0</v>
      </c>
      <c r="AY418" s="168">
        <f t="shared" si="69"/>
        <v>0</v>
      </c>
      <c r="AZ418" s="168">
        <f t="shared" si="70"/>
        <v>0</v>
      </c>
      <c r="BA418" s="141"/>
      <c r="IH418" s="142"/>
      <c r="II418" s="142"/>
      <c r="IJ418" s="142"/>
      <c r="IK418" s="142"/>
      <c r="IL418" s="142"/>
      <c r="IM418" s="142"/>
      <c r="IN418" s="142"/>
    </row>
    <row r="419" s="135" customFormat="1" ht="12.95" customHeight="1" spans="1:248">
      <c r="A419" s="154"/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  <c r="AA419" s="184"/>
      <c r="AB419" s="184"/>
      <c r="AC419" s="184"/>
      <c r="AD419" s="184"/>
      <c r="AE419" s="184"/>
      <c r="AF419" s="160"/>
      <c r="AG419" s="160"/>
      <c r="AH419" s="160"/>
      <c r="AI419" s="160"/>
      <c r="AJ419" s="160"/>
      <c r="AK419" s="160"/>
      <c r="AL419" s="184"/>
      <c r="AM419" s="1"/>
      <c r="AN419" s="168">
        <f t="shared" si="58"/>
        <v>0</v>
      </c>
      <c r="AO419" s="168">
        <f t="shared" si="59"/>
        <v>0</v>
      </c>
      <c r="AP419" s="168">
        <f t="shared" si="60"/>
        <v>0</v>
      </c>
      <c r="AQ419" s="168">
        <f t="shared" si="61"/>
        <v>0</v>
      </c>
      <c r="AR419" s="168">
        <f t="shared" si="62"/>
        <v>0</v>
      </c>
      <c r="AS419" s="168">
        <f t="shared" si="63"/>
        <v>0</v>
      </c>
      <c r="AT419" s="168">
        <f t="shared" si="64"/>
        <v>0</v>
      </c>
      <c r="AU419" s="168">
        <f t="shared" si="65"/>
        <v>0</v>
      </c>
      <c r="AV419" s="168">
        <f t="shared" si="66"/>
        <v>0</v>
      </c>
      <c r="AW419" s="168">
        <f t="shared" si="67"/>
        <v>0</v>
      </c>
      <c r="AX419" s="168">
        <f t="shared" si="68"/>
        <v>0</v>
      </c>
      <c r="AY419" s="168">
        <f t="shared" si="69"/>
        <v>0</v>
      </c>
      <c r="AZ419" s="168">
        <f t="shared" si="70"/>
        <v>0</v>
      </c>
      <c r="BA419" s="141"/>
      <c r="IH419" s="142"/>
      <c r="II419" s="142"/>
      <c r="IJ419" s="142"/>
      <c r="IK419" s="142"/>
      <c r="IL419" s="142"/>
      <c r="IM419" s="142"/>
      <c r="IN419" s="142"/>
    </row>
    <row r="420" s="135" customFormat="1" ht="12.95" customHeight="1" spans="1:248">
      <c r="A420" s="154"/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  <c r="AA420" s="184"/>
      <c r="AB420" s="184"/>
      <c r="AC420" s="184"/>
      <c r="AD420" s="184"/>
      <c r="AE420" s="184"/>
      <c r="AF420" s="160"/>
      <c r="AG420" s="160"/>
      <c r="AH420" s="160"/>
      <c r="AI420" s="160"/>
      <c r="AJ420" s="160"/>
      <c r="AK420" s="160"/>
      <c r="AL420" s="184"/>
      <c r="AM420" s="1"/>
      <c r="AN420" s="168">
        <f t="shared" si="58"/>
        <v>0</v>
      </c>
      <c r="AO420" s="168">
        <f t="shared" si="59"/>
        <v>0</v>
      </c>
      <c r="AP420" s="168">
        <f t="shared" si="60"/>
        <v>0</v>
      </c>
      <c r="AQ420" s="168">
        <f t="shared" si="61"/>
        <v>0</v>
      </c>
      <c r="AR420" s="168">
        <f t="shared" si="62"/>
        <v>0</v>
      </c>
      <c r="AS420" s="168">
        <f t="shared" si="63"/>
        <v>0</v>
      </c>
      <c r="AT420" s="168">
        <f t="shared" si="64"/>
        <v>0</v>
      </c>
      <c r="AU420" s="168">
        <f t="shared" si="65"/>
        <v>0</v>
      </c>
      <c r="AV420" s="168">
        <f t="shared" si="66"/>
        <v>0</v>
      </c>
      <c r="AW420" s="168">
        <f t="shared" si="67"/>
        <v>0</v>
      </c>
      <c r="AX420" s="168">
        <f t="shared" si="68"/>
        <v>0</v>
      </c>
      <c r="AY420" s="168">
        <f t="shared" si="69"/>
        <v>0</v>
      </c>
      <c r="AZ420" s="168">
        <f t="shared" si="70"/>
        <v>0</v>
      </c>
      <c r="BA420" s="141"/>
      <c r="IH420" s="142"/>
      <c r="II420" s="142"/>
      <c r="IJ420" s="142"/>
      <c r="IK420" s="142"/>
      <c r="IL420" s="142"/>
      <c r="IM420" s="142"/>
      <c r="IN420" s="142"/>
    </row>
    <row r="421" s="135" customFormat="1" ht="12.95" customHeight="1" spans="1:248">
      <c r="A421" s="154"/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  <c r="AA421" s="184"/>
      <c r="AB421" s="184"/>
      <c r="AC421" s="184"/>
      <c r="AD421" s="184"/>
      <c r="AE421" s="184"/>
      <c r="AF421" s="160"/>
      <c r="AG421" s="160"/>
      <c r="AH421" s="160"/>
      <c r="AI421" s="160"/>
      <c r="AJ421" s="160"/>
      <c r="AK421" s="160"/>
      <c r="AL421" s="184"/>
      <c r="AM421" s="1"/>
      <c r="AN421" s="168">
        <f t="shared" si="58"/>
        <v>0</v>
      </c>
      <c r="AO421" s="168">
        <f t="shared" si="59"/>
        <v>0</v>
      </c>
      <c r="AP421" s="168">
        <f t="shared" si="60"/>
        <v>0</v>
      </c>
      <c r="AQ421" s="168">
        <f t="shared" si="61"/>
        <v>0</v>
      </c>
      <c r="AR421" s="168">
        <f t="shared" si="62"/>
        <v>0</v>
      </c>
      <c r="AS421" s="168">
        <f t="shared" si="63"/>
        <v>0</v>
      </c>
      <c r="AT421" s="168">
        <f t="shared" si="64"/>
        <v>0</v>
      </c>
      <c r="AU421" s="168">
        <f t="shared" si="65"/>
        <v>0</v>
      </c>
      <c r="AV421" s="168">
        <f t="shared" si="66"/>
        <v>0</v>
      </c>
      <c r="AW421" s="168">
        <f t="shared" si="67"/>
        <v>0</v>
      </c>
      <c r="AX421" s="168">
        <f t="shared" si="68"/>
        <v>0</v>
      </c>
      <c r="AY421" s="168">
        <f t="shared" si="69"/>
        <v>0</v>
      </c>
      <c r="AZ421" s="168">
        <f t="shared" si="70"/>
        <v>0</v>
      </c>
      <c r="BA421" s="141"/>
      <c r="IH421" s="142"/>
      <c r="II421" s="142"/>
      <c r="IJ421" s="142"/>
      <c r="IK421" s="142"/>
      <c r="IL421" s="142"/>
      <c r="IM421" s="142"/>
      <c r="IN421" s="142"/>
    </row>
    <row r="422" s="135" customFormat="1" ht="12.95" customHeight="1" spans="1:248">
      <c r="A422" s="154"/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  <c r="AA422" s="184"/>
      <c r="AB422" s="184"/>
      <c r="AC422" s="184"/>
      <c r="AD422" s="184"/>
      <c r="AE422" s="184"/>
      <c r="AF422" s="160"/>
      <c r="AG422" s="160"/>
      <c r="AH422" s="160"/>
      <c r="AI422" s="160"/>
      <c r="AJ422" s="160"/>
      <c r="AK422" s="160"/>
      <c r="AL422" s="184"/>
      <c r="AM422" s="1"/>
      <c r="AN422" s="168">
        <f t="shared" si="58"/>
        <v>0</v>
      </c>
      <c r="AO422" s="168">
        <f t="shared" si="59"/>
        <v>0</v>
      </c>
      <c r="AP422" s="168">
        <f t="shared" si="60"/>
        <v>0</v>
      </c>
      <c r="AQ422" s="168">
        <f t="shared" si="61"/>
        <v>0</v>
      </c>
      <c r="AR422" s="168">
        <f t="shared" si="62"/>
        <v>0</v>
      </c>
      <c r="AS422" s="168">
        <f t="shared" si="63"/>
        <v>0</v>
      </c>
      <c r="AT422" s="168">
        <f t="shared" si="64"/>
        <v>0</v>
      </c>
      <c r="AU422" s="168">
        <f t="shared" si="65"/>
        <v>0</v>
      </c>
      <c r="AV422" s="168">
        <f t="shared" si="66"/>
        <v>0</v>
      </c>
      <c r="AW422" s="168">
        <f t="shared" si="67"/>
        <v>0</v>
      </c>
      <c r="AX422" s="168">
        <f t="shared" si="68"/>
        <v>0</v>
      </c>
      <c r="AY422" s="168">
        <f t="shared" si="69"/>
        <v>0</v>
      </c>
      <c r="AZ422" s="168">
        <f t="shared" si="70"/>
        <v>0</v>
      </c>
      <c r="BA422" s="141"/>
      <c r="IH422" s="142"/>
      <c r="II422" s="142"/>
      <c r="IJ422" s="142"/>
      <c r="IK422" s="142"/>
      <c r="IL422" s="142"/>
      <c r="IM422" s="142"/>
      <c r="IN422" s="142"/>
    </row>
    <row r="423" s="135" customFormat="1" ht="12.95" customHeight="1" spans="1:248">
      <c r="A423" s="154"/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  <c r="AA423" s="184"/>
      <c r="AB423" s="184"/>
      <c r="AC423" s="184"/>
      <c r="AD423" s="184"/>
      <c r="AE423" s="184"/>
      <c r="AF423" s="160"/>
      <c r="AG423" s="160"/>
      <c r="AH423" s="160"/>
      <c r="AI423" s="160"/>
      <c r="AJ423" s="160"/>
      <c r="AK423" s="160"/>
      <c r="AL423" s="184"/>
      <c r="AM423" s="1"/>
      <c r="AN423" s="168">
        <f t="shared" si="58"/>
        <v>0</v>
      </c>
      <c r="AO423" s="168">
        <f t="shared" si="59"/>
        <v>0</v>
      </c>
      <c r="AP423" s="168">
        <f t="shared" si="60"/>
        <v>0</v>
      </c>
      <c r="AQ423" s="168">
        <f t="shared" si="61"/>
        <v>0</v>
      </c>
      <c r="AR423" s="168">
        <f t="shared" si="62"/>
        <v>0</v>
      </c>
      <c r="AS423" s="168">
        <f t="shared" si="63"/>
        <v>0</v>
      </c>
      <c r="AT423" s="168">
        <f t="shared" si="64"/>
        <v>0</v>
      </c>
      <c r="AU423" s="168">
        <f t="shared" si="65"/>
        <v>0</v>
      </c>
      <c r="AV423" s="168">
        <f t="shared" si="66"/>
        <v>0</v>
      </c>
      <c r="AW423" s="168">
        <f t="shared" si="67"/>
        <v>0</v>
      </c>
      <c r="AX423" s="168">
        <f t="shared" si="68"/>
        <v>0</v>
      </c>
      <c r="AY423" s="168">
        <f t="shared" si="69"/>
        <v>0</v>
      </c>
      <c r="AZ423" s="168">
        <f t="shared" si="70"/>
        <v>0</v>
      </c>
      <c r="BA423" s="141"/>
      <c r="IH423" s="142"/>
      <c r="II423" s="142"/>
      <c r="IJ423" s="142"/>
      <c r="IK423" s="142"/>
      <c r="IL423" s="142"/>
      <c r="IM423" s="142"/>
      <c r="IN423" s="142"/>
    </row>
    <row r="424" s="135" customFormat="1" ht="12.95" customHeight="1" spans="1:248">
      <c r="A424" s="154"/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  <c r="AA424" s="184"/>
      <c r="AB424" s="184"/>
      <c r="AC424" s="184"/>
      <c r="AD424" s="184"/>
      <c r="AE424" s="184"/>
      <c r="AF424" s="160"/>
      <c r="AG424" s="160"/>
      <c r="AH424" s="160"/>
      <c r="AI424" s="160"/>
      <c r="AJ424" s="160"/>
      <c r="AK424" s="160"/>
      <c r="AL424" s="184"/>
      <c r="AM424" s="1"/>
      <c r="AN424" s="168">
        <f t="shared" si="58"/>
        <v>0</v>
      </c>
      <c r="AO424" s="168">
        <f t="shared" si="59"/>
        <v>0</v>
      </c>
      <c r="AP424" s="168">
        <f t="shared" si="60"/>
        <v>0</v>
      </c>
      <c r="AQ424" s="168">
        <f t="shared" si="61"/>
        <v>0</v>
      </c>
      <c r="AR424" s="168">
        <f t="shared" si="62"/>
        <v>0</v>
      </c>
      <c r="AS424" s="168">
        <f t="shared" si="63"/>
        <v>0</v>
      </c>
      <c r="AT424" s="168">
        <f t="shared" si="64"/>
        <v>0</v>
      </c>
      <c r="AU424" s="168">
        <f t="shared" si="65"/>
        <v>0</v>
      </c>
      <c r="AV424" s="168">
        <f t="shared" si="66"/>
        <v>0</v>
      </c>
      <c r="AW424" s="168">
        <f t="shared" si="67"/>
        <v>0</v>
      </c>
      <c r="AX424" s="168">
        <f t="shared" si="68"/>
        <v>0</v>
      </c>
      <c r="AY424" s="168">
        <f t="shared" si="69"/>
        <v>0</v>
      </c>
      <c r="AZ424" s="168">
        <f t="shared" si="70"/>
        <v>0</v>
      </c>
      <c r="BA424" s="141"/>
      <c r="IH424" s="142"/>
      <c r="II424" s="142"/>
      <c r="IJ424" s="142"/>
      <c r="IK424" s="142"/>
      <c r="IL424" s="142"/>
      <c r="IM424" s="142"/>
      <c r="IN424" s="142"/>
    </row>
    <row r="425" s="135" customFormat="1" ht="12.95" customHeight="1" spans="1:248">
      <c r="A425" s="154"/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  <c r="AA425" s="184"/>
      <c r="AB425" s="184"/>
      <c r="AC425" s="184"/>
      <c r="AD425" s="184"/>
      <c r="AE425" s="184"/>
      <c r="AF425" s="160"/>
      <c r="AG425" s="160"/>
      <c r="AH425" s="160"/>
      <c r="AI425" s="160"/>
      <c r="AJ425" s="160"/>
      <c r="AK425" s="160"/>
      <c r="AL425" s="184"/>
      <c r="AM425" s="1"/>
      <c r="AN425" s="168">
        <f t="shared" si="58"/>
        <v>0</v>
      </c>
      <c r="AO425" s="168">
        <f t="shared" si="59"/>
        <v>0</v>
      </c>
      <c r="AP425" s="168">
        <f t="shared" si="60"/>
        <v>0</v>
      </c>
      <c r="AQ425" s="168">
        <f t="shared" si="61"/>
        <v>0</v>
      </c>
      <c r="AR425" s="168">
        <f t="shared" si="62"/>
        <v>0</v>
      </c>
      <c r="AS425" s="168">
        <f t="shared" si="63"/>
        <v>0</v>
      </c>
      <c r="AT425" s="168">
        <f t="shared" si="64"/>
        <v>0</v>
      </c>
      <c r="AU425" s="168">
        <f t="shared" si="65"/>
        <v>0</v>
      </c>
      <c r="AV425" s="168">
        <f t="shared" si="66"/>
        <v>0</v>
      </c>
      <c r="AW425" s="168">
        <f t="shared" si="67"/>
        <v>0</v>
      </c>
      <c r="AX425" s="168">
        <f t="shared" si="68"/>
        <v>0</v>
      </c>
      <c r="AY425" s="168">
        <f t="shared" si="69"/>
        <v>0</v>
      </c>
      <c r="AZ425" s="168">
        <f t="shared" si="70"/>
        <v>0</v>
      </c>
      <c r="BA425" s="141"/>
      <c r="IH425" s="142"/>
      <c r="II425" s="142"/>
      <c r="IJ425" s="142"/>
      <c r="IK425" s="142"/>
      <c r="IL425" s="142"/>
      <c r="IM425" s="142"/>
      <c r="IN425" s="142"/>
    </row>
    <row r="426" s="135" customFormat="1" ht="12.95" customHeight="1" spans="1:248">
      <c r="A426" s="154"/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  <c r="AA426" s="184"/>
      <c r="AB426" s="184"/>
      <c r="AC426" s="184"/>
      <c r="AD426" s="184"/>
      <c r="AE426" s="184"/>
      <c r="AF426" s="160"/>
      <c r="AG426" s="160"/>
      <c r="AH426" s="160"/>
      <c r="AI426" s="160"/>
      <c r="AJ426" s="160"/>
      <c r="AK426" s="160"/>
      <c r="AL426" s="184"/>
      <c r="AM426" s="1"/>
      <c r="AN426" s="168">
        <f t="shared" si="58"/>
        <v>0</v>
      </c>
      <c r="AO426" s="168">
        <f t="shared" si="59"/>
        <v>0</v>
      </c>
      <c r="AP426" s="168">
        <f t="shared" si="60"/>
        <v>0</v>
      </c>
      <c r="AQ426" s="168">
        <f t="shared" si="61"/>
        <v>0</v>
      </c>
      <c r="AR426" s="168">
        <f t="shared" si="62"/>
        <v>0</v>
      </c>
      <c r="AS426" s="168">
        <f t="shared" si="63"/>
        <v>0</v>
      </c>
      <c r="AT426" s="168">
        <f t="shared" si="64"/>
        <v>0</v>
      </c>
      <c r="AU426" s="168">
        <f t="shared" si="65"/>
        <v>0</v>
      </c>
      <c r="AV426" s="168">
        <f t="shared" si="66"/>
        <v>0</v>
      </c>
      <c r="AW426" s="168">
        <f t="shared" si="67"/>
        <v>0</v>
      </c>
      <c r="AX426" s="168">
        <f t="shared" si="68"/>
        <v>0</v>
      </c>
      <c r="AY426" s="168">
        <f t="shared" si="69"/>
        <v>0</v>
      </c>
      <c r="AZ426" s="168">
        <f t="shared" si="70"/>
        <v>0</v>
      </c>
      <c r="BA426" s="141"/>
      <c r="IH426" s="142"/>
      <c r="II426" s="142"/>
      <c r="IJ426" s="142"/>
      <c r="IK426" s="142"/>
      <c r="IL426" s="142"/>
      <c r="IM426" s="142"/>
      <c r="IN426" s="142"/>
    </row>
    <row r="427" s="135" customFormat="1" ht="12.95" customHeight="1" spans="1:248">
      <c r="A427" s="154"/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  <c r="AA427" s="184"/>
      <c r="AB427" s="184"/>
      <c r="AC427" s="184"/>
      <c r="AD427" s="184"/>
      <c r="AE427" s="184"/>
      <c r="AF427" s="160"/>
      <c r="AG427" s="160"/>
      <c r="AH427" s="160"/>
      <c r="AI427" s="160"/>
      <c r="AJ427" s="160"/>
      <c r="AK427" s="160"/>
      <c r="AL427" s="184"/>
      <c r="AM427" s="1"/>
      <c r="AN427" s="168">
        <f t="shared" ref="AN427:AN470" si="71">COUNTIF(G427:AK427,"病")</f>
        <v>0</v>
      </c>
      <c r="AO427" s="168">
        <f t="shared" ref="AO427:AO469" si="72">COUNTIF(G427:AK427,"事")</f>
        <v>0</v>
      </c>
      <c r="AP427" s="168">
        <f t="shared" ref="AP427:AP470" si="73">COUNTIF(G427:AK427,"探")</f>
        <v>0</v>
      </c>
      <c r="AQ427" s="168">
        <f t="shared" ref="AQ427:AQ471" si="74">COUNTIF(G427:AK427,"年")</f>
        <v>0</v>
      </c>
      <c r="AR427" s="168">
        <f t="shared" ref="AR427:AR470" si="75">COUNTIF(G427:AK427,"婚")+COUNTIF(G427:AK427,"丧")</f>
        <v>0</v>
      </c>
      <c r="AS427" s="168">
        <f t="shared" ref="AS427:AS470" si="76">COUNTIF(G427:AK427,"伤")</f>
        <v>0</v>
      </c>
      <c r="AT427" s="168">
        <f t="shared" ref="AT427:AT470" si="77">COUNTIF(G427:AK427,"护")</f>
        <v>0</v>
      </c>
      <c r="AU427" s="168">
        <f t="shared" ref="AU427:AU470" si="78">COUNTIF(G427:AK427,"旷")</f>
        <v>0</v>
      </c>
      <c r="AV427" s="168">
        <f t="shared" ref="AV427:AV470" si="79">COUNTIF(G427:AK427,"拘")</f>
        <v>0</v>
      </c>
      <c r="AW427" s="168">
        <f t="shared" ref="AW427:AW470" si="80">COUNTIF(G427:AK427,"疗")</f>
        <v>0</v>
      </c>
      <c r="AX427" s="168">
        <f t="shared" ref="AX427:AX470" si="81">COUNTIF(G427:AK427,"育")</f>
        <v>0</v>
      </c>
      <c r="AY427" s="168">
        <f t="shared" ref="AY427:AY470" si="82">COUNTIF(G427:AK427,"陪")</f>
        <v>0</v>
      </c>
      <c r="AZ427" s="168">
        <f t="shared" ref="AZ427:AZ470" si="83">SUM(AN427:AY427)-AW427</f>
        <v>0</v>
      </c>
      <c r="BA427" s="141"/>
      <c r="IH427" s="142"/>
      <c r="II427" s="142"/>
      <c r="IJ427" s="142"/>
      <c r="IK427" s="142"/>
      <c r="IL427" s="142"/>
      <c r="IM427" s="142"/>
      <c r="IN427" s="142"/>
    </row>
    <row r="428" s="135" customFormat="1" ht="12.95" customHeight="1" spans="1:248">
      <c r="A428" s="154"/>
      <c r="B428" s="184"/>
      <c r="C428" s="184"/>
      <c r="D428" s="184"/>
      <c r="E428" s="185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  <c r="AA428" s="184"/>
      <c r="AB428" s="184"/>
      <c r="AC428" s="184"/>
      <c r="AD428" s="184"/>
      <c r="AE428" s="184"/>
      <c r="AF428" s="160"/>
      <c r="AG428" s="160"/>
      <c r="AH428" s="160"/>
      <c r="AI428" s="160"/>
      <c r="AJ428" s="160"/>
      <c r="AK428" s="160"/>
      <c r="AL428" s="184"/>
      <c r="AM428" s="1"/>
      <c r="AN428" s="168">
        <f t="shared" si="71"/>
        <v>0</v>
      </c>
      <c r="AO428" s="168">
        <f t="shared" si="72"/>
        <v>0</v>
      </c>
      <c r="AP428" s="168">
        <f t="shared" si="73"/>
        <v>0</v>
      </c>
      <c r="AQ428" s="168">
        <f t="shared" si="74"/>
        <v>0</v>
      </c>
      <c r="AR428" s="168">
        <f t="shared" si="75"/>
        <v>0</v>
      </c>
      <c r="AS428" s="168">
        <f t="shared" si="76"/>
        <v>0</v>
      </c>
      <c r="AT428" s="168">
        <f t="shared" si="77"/>
        <v>0</v>
      </c>
      <c r="AU428" s="168">
        <f t="shared" si="78"/>
        <v>0</v>
      </c>
      <c r="AV428" s="168">
        <f t="shared" si="79"/>
        <v>0</v>
      </c>
      <c r="AW428" s="168">
        <f t="shared" si="80"/>
        <v>0</v>
      </c>
      <c r="AX428" s="168">
        <f t="shared" si="81"/>
        <v>0</v>
      </c>
      <c r="AY428" s="168">
        <f t="shared" si="82"/>
        <v>0</v>
      </c>
      <c r="AZ428" s="168">
        <f t="shared" si="83"/>
        <v>0</v>
      </c>
      <c r="BA428" s="141"/>
      <c r="IH428" s="142"/>
      <c r="II428" s="142"/>
      <c r="IJ428" s="142"/>
      <c r="IK428" s="142"/>
      <c r="IL428" s="142"/>
      <c r="IM428" s="142"/>
      <c r="IN428" s="142"/>
    </row>
    <row r="429" s="135" customFormat="1" ht="12.95" customHeight="1" spans="1:248">
      <c r="A429" s="154"/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  <c r="AA429" s="184"/>
      <c r="AB429" s="184"/>
      <c r="AC429" s="184"/>
      <c r="AD429" s="184"/>
      <c r="AE429" s="184"/>
      <c r="AF429" s="160"/>
      <c r="AG429" s="160"/>
      <c r="AH429" s="160"/>
      <c r="AI429" s="160"/>
      <c r="AJ429" s="160"/>
      <c r="AK429" s="160"/>
      <c r="AL429" s="184"/>
      <c r="AM429" s="1"/>
      <c r="AN429" s="168">
        <f t="shared" si="71"/>
        <v>0</v>
      </c>
      <c r="AO429" s="168">
        <f t="shared" si="72"/>
        <v>0</v>
      </c>
      <c r="AP429" s="168">
        <f t="shared" si="73"/>
        <v>0</v>
      </c>
      <c r="AQ429" s="168">
        <f t="shared" si="74"/>
        <v>0</v>
      </c>
      <c r="AR429" s="168">
        <f t="shared" si="75"/>
        <v>0</v>
      </c>
      <c r="AS429" s="168">
        <f t="shared" si="76"/>
        <v>0</v>
      </c>
      <c r="AT429" s="168">
        <f t="shared" si="77"/>
        <v>0</v>
      </c>
      <c r="AU429" s="168">
        <f t="shared" si="78"/>
        <v>0</v>
      </c>
      <c r="AV429" s="168">
        <f t="shared" si="79"/>
        <v>0</v>
      </c>
      <c r="AW429" s="168">
        <f t="shared" si="80"/>
        <v>0</v>
      </c>
      <c r="AX429" s="168">
        <f t="shared" si="81"/>
        <v>0</v>
      </c>
      <c r="AY429" s="168">
        <f t="shared" si="82"/>
        <v>0</v>
      </c>
      <c r="AZ429" s="168">
        <f t="shared" si="83"/>
        <v>0</v>
      </c>
      <c r="BA429" s="141"/>
      <c r="IH429" s="142"/>
      <c r="II429" s="142"/>
      <c r="IJ429" s="142"/>
      <c r="IK429" s="142"/>
      <c r="IL429" s="142"/>
      <c r="IM429" s="142"/>
      <c r="IN429" s="142"/>
    </row>
    <row r="430" s="135" customFormat="1" ht="12.95" customHeight="1" spans="1:248">
      <c r="A430" s="154"/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  <c r="AA430" s="184"/>
      <c r="AB430" s="184"/>
      <c r="AC430" s="184"/>
      <c r="AD430" s="184"/>
      <c r="AE430" s="184"/>
      <c r="AF430" s="160"/>
      <c r="AG430" s="160"/>
      <c r="AH430" s="160"/>
      <c r="AI430" s="160"/>
      <c r="AJ430" s="160"/>
      <c r="AK430" s="160"/>
      <c r="AL430" s="184"/>
      <c r="AM430" s="1"/>
      <c r="AN430" s="168">
        <f t="shared" si="71"/>
        <v>0</v>
      </c>
      <c r="AO430" s="168">
        <f t="shared" si="72"/>
        <v>0</v>
      </c>
      <c r="AP430" s="168">
        <f t="shared" si="73"/>
        <v>0</v>
      </c>
      <c r="AQ430" s="168">
        <f t="shared" si="74"/>
        <v>0</v>
      </c>
      <c r="AR430" s="168">
        <f t="shared" si="75"/>
        <v>0</v>
      </c>
      <c r="AS430" s="168">
        <f t="shared" si="76"/>
        <v>0</v>
      </c>
      <c r="AT430" s="168">
        <f t="shared" si="77"/>
        <v>0</v>
      </c>
      <c r="AU430" s="168">
        <f t="shared" si="78"/>
        <v>0</v>
      </c>
      <c r="AV430" s="168">
        <f t="shared" si="79"/>
        <v>0</v>
      </c>
      <c r="AW430" s="168">
        <f t="shared" si="80"/>
        <v>0</v>
      </c>
      <c r="AX430" s="168">
        <f t="shared" si="81"/>
        <v>0</v>
      </c>
      <c r="AY430" s="168">
        <f t="shared" si="82"/>
        <v>0</v>
      </c>
      <c r="AZ430" s="168">
        <f t="shared" si="83"/>
        <v>0</v>
      </c>
      <c r="BA430" s="141"/>
      <c r="IH430" s="142"/>
      <c r="II430" s="142"/>
      <c r="IJ430" s="142"/>
      <c r="IK430" s="142"/>
      <c r="IL430" s="142"/>
      <c r="IM430" s="142"/>
      <c r="IN430" s="142"/>
    </row>
    <row r="431" s="135" customFormat="1" ht="12.95" customHeight="1" spans="1:248">
      <c r="A431" s="154"/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  <c r="AA431" s="184"/>
      <c r="AB431" s="184"/>
      <c r="AC431" s="184"/>
      <c r="AD431" s="184"/>
      <c r="AE431" s="184"/>
      <c r="AF431" s="160"/>
      <c r="AG431" s="160"/>
      <c r="AH431" s="160"/>
      <c r="AI431" s="160"/>
      <c r="AJ431" s="160"/>
      <c r="AK431" s="160"/>
      <c r="AL431" s="184"/>
      <c r="AM431" s="1"/>
      <c r="AN431" s="168">
        <f t="shared" si="71"/>
        <v>0</v>
      </c>
      <c r="AO431" s="168">
        <f t="shared" si="72"/>
        <v>0</v>
      </c>
      <c r="AP431" s="168">
        <f t="shared" si="73"/>
        <v>0</v>
      </c>
      <c r="AQ431" s="168">
        <f t="shared" si="74"/>
        <v>0</v>
      </c>
      <c r="AR431" s="168">
        <f t="shared" si="75"/>
        <v>0</v>
      </c>
      <c r="AS431" s="168">
        <f t="shared" si="76"/>
        <v>0</v>
      </c>
      <c r="AT431" s="168">
        <f t="shared" si="77"/>
        <v>0</v>
      </c>
      <c r="AU431" s="168">
        <f t="shared" si="78"/>
        <v>0</v>
      </c>
      <c r="AV431" s="168">
        <f t="shared" si="79"/>
        <v>0</v>
      </c>
      <c r="AW431" s="168">
        <f t="shared" si="80"/>
        <v>0</v>
      </c>
      <c r="AX431" s="168">
        <f t="shared" si="81"/>
        <v>0</v>
      </c>
      <c r="AY431" s="168">
        <f t="shared" si="82"/>
        <v>0</v>
      </c>
      <c r="AZ431" s="168">
        <f t="shared" si="83"/>
        <v>0</v>
      </c>
      <c r="BA431" s="141"/>
      <c r="IH431" s="142"/>
      <c r="II431" s="142"/>
      <c r="IJ431" s="142"/>
      <c r="IK431" s="142"/>
      <c r="IL431" s="142"/>
      <c r="IM431" s="142"/>
      <c r="IN431" s="142"/>
    </row>
    <row r="432" s="135" customFormat="1" ht="12.95" customHeight="1" spans="1:248">
      <c r="A432" s="154"/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  <c r="AA432" s="184"/>
      <c r="AB432" s="184"/>
      <c r="AC432" s="184"/>
      <c r="AD432" s="184"/>
      <c r="AE432" s="184"/>
      <c r="AF432" s="160"/>
      <c r="AG432" s="160"/>
      <c r="AH432" s="160"/>
      <c r="AI432" s="160"/>
      <c r="AJ432" s="160"/>
      <c r="AK432" s="160"/>
      <c r="AL432" s="184"/>
      <c r="AM432" s="1"/>
      <c r="AN432" s="168">
        <f t="shared" si="71"/>
        <v>0</v>
      </c>
      <c r="AO432" s="168">
        <f t="shared" si="72"/>
        <v>0</v>
      </c>
      <c r="AP432" s="168">
        <f t="shared" si="73"/>
        <v>0</v>
      </c>
      <c r="AQ432" s="168">
        <f t="shared" si="74"/>
        <v>0</v>
      </c>
      <c r="AR432" s="168">
        <f t="shared" si="75"/>
        <v>0</v>
      </c>
      <c r="AS432" s="168">
        <f t="shared" si="76"/>
        <v>0</v>
      </c>
      <c r="AT432" s="168">
        <f t="shared" si="77"/>
        <v>0</v>
      </c>
      <c r="AU432" s="168">
        <f t="shared" si="78"/>
        <v>0</v>
      </c>
      <c r="AV432" s="168">
        <f t="shared" si="79"/>
        <v>0</v>
      </c>
      <c r="AW432" s="168">
        <f t="shared" si="80"/>
        <v>0</v>
      </c>
      <c r="AX432" s="168">
        <f t="shared" si="81"/>
        <v>0</v>
      </c>
      <c r="AY432" s="168">
        <f t="shared" si="82"/>
        <v>0</v>
      </c>
      <c r="AZ432" s="168">
        <f t="shared" si="83"/>
        <v>0</v>
      </c>
      <c r="BA432" s="141"/>
      <c r="IH432" s="142"/>
      <c r="II432" s="142"/>
      <c r="IJ432" s="142"/>
      <c r="IK432" s="142"/>
      <c r="IL432" s="142"/>
      <c r="IM432" s="142"/>
      <c r="IN432" s="142"/>
    </row>
    <row r="433" s="135" customFormat="1" ht="12.95" customHeight="1" spans="1:248">
      <c r="A433" s="154"/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  <c r="AA433" s="184"/>
      <c r="AB433" s="184"/>
      <c r="AC433" s="184"/>
      <c r="AD433" s="184"/>
      <c r="AE433" s="184"/>
      <c r="AF433" s="160"/>
      <c r="AG433" s="160"/>
      <c r="AH433" s="160"/>
      <c r="AI433" s="160"/>
      <c r="AJ433" s="160"/>
      <c r="AK433" s="160"/>
      <c r="AL433" s="184"/>
      <c r="AM433" s="1"/>
      <c r="AN433" s="168">
        <f t="shared" si="71"/>
        <v>0</v>
      </c>
      <c r="AO433" s="168">
        <f t="shared" si="72"/>
        <v>0</v>
      </c>
      <c r="AP433" s="168">
        <f t="shared" si="73"/>
        <v>0</v>
      </c>
      <c r="AQ433" s="168">
        <f t="shared" si="74"/>
        <v>0</v>
      </c>
      <c r="AR433" s="168">
        <f t="shared" si="75"/>
        <v>0</v>
      </c>
      <c r="AS433" s="168">
        <f t="shared" si="76"/>
        <v>0</v>
      </c>
      <c r="AT433" s="168">
        <f t="shared" si="77"/>
        <v>0</v>
      </c>
      <c r="AU433" s="168">
        <f t="shared" si="78"/>
        <v>0</v>
      </c>
      <c r="AV433" s="168">
        <f t="shared" si="79"/>
        <v>0</v>
      </c>
      <c r="AW433" s="168">
        <f t="shared" si="80"/>
        <v>0</v>
      </c>
      <c r="AX433" s="168">
        <f t="shared" si="81"/>
        <v>0</v>
      </c>
      <c r="AY433" s="168">
        <f t="shared" si="82"/>
        <v>0</v>
      </c>
      <c r="AZ433" s="168">
        <f t="shared" si="83"/>
        <v>0</v>
      </c>
      <c r="BA433" s="141"/>
      <c r="IH433" s="142"/>
      <c r="II433" s="142"/>
      <c r="IJ433" s="142"/>
      <c r="IK433" s="142"/>
      <c r="IL433" s="142"/>
      <c r="IM433" s="142"/>
      <c r="IN433" s="142"/>
    </row>
    <row r="434" s="135" customFormat="1" ht="12.95" customHeight="1" spans="1:248">
      <c r="A434" s="154"/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  <c r="AA434" s="184"/>
      <c r="AB434" s="184"/>
      <c r="AC434" s="184"/>
      <c r="AD434" s="184"/>
      <c r="AE434" s="184"/>
      <c r="AF434" s="160"/>
      <c r="AG434" s="160"/>
      <c r="AH434" s="160"/>
      <c r="AI434" s="160"/>
      <c r="AJ434" s="160"/>
      <c r="AK434" s="160"/>
      <c r="AL434" s="184"/>
      <c r="AM434" s="1"/>
      <c r="AN434" s="168">
        <f t="shared" si="71"/>
        <v>0</v>
      </c>
      <c r="AO434" s="168">
        <f t="shared" si="72"/>
        <v>0</v>
      </c>
      <c r="AP434" s="168">
        <f t="shared" si="73"/>
        <v>0</v>
      </c>
      <c r="AQ434" s="168">
        <f t="shared" si="74"/>
        <v>0</v>
      </c>
      <c r="AR434" s="168">
        <f t="shared" si="75"/>
        <v>0</v>
      </c>
      <c r="AS434" s="168">
        <f t="shared" si="76"/>
        <v>0</v>
      </c>
      <c r="AT434" s="168">
        <f t="shared" si="77"/>
        <v>0</v>
      </c>
      <c r="AU434" s="168">
        <f t="shared" si="78"/>
        <v>0</v>
      </c>
      <c r="AV434" s="168">
        <f t="shared" si="79"/>
        <v>0</v>
      </c>
      <c r="AW434" s="168">
        <f t="shared" si="80"/>
        <v>0</v>
      </c>
      <c r="AX434" s="168">
        <f t="shared" si="81"/>
        <v>0</v>
      </c>
      <c r="AY434" s="168">
        <f t="shared" si="82"/>
        <v>0</v>
      </c>
      <c r="AZ434" s="168">
        <f t="shared" si="83"/>
        <v>0</v>
      </c>
      <c r="BA434" s="141"/>
      <c r="IH434" s="142"/>
      <c r="II434" s="142"/>
      <c r="IJ434" s="142"/>
      <c r="IK434" s="142"/>
      <c r="IL434" s="142"/>
      <c r="IM434" s="142"/>
      <c r="IN434" s="142"/>
    </row>
    <row r="435" s="135" customFormat="1" ht="12.95" customHeight="1" spans="1:248">
      <c r="A435" s="154"/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  <c r="AA435" s="184"/>
      <c r="AB435" s="184"/>
      <c r="AC435" s="184"/>
      <c r="AD435" s="184"/>
      <c r="AE435" s="184"/>
      <c r="AF435" s="160"/>
      <c r="AG435" s="160"/>
      <c r="AH435" s="160"/>
      <c r="AI435" s="160"/>
      <c r="AJ435" s="160"/>
      <c r="AK435" s="160"/>
      <c r="AL435" s="184"/>
      <c r="AM435" s="1"/>
      <c r="AN435" s="168">
        <f t="shared" si="71"/>
        <v>0</v>
      </c>
      <c r="AO435" s="168">
        <f t="shared" si="72"/>
        <v>0</v>
      </c>
      <c r="AP435" s="168">
        <f t="shared" si="73"/>
        <v>0</v>
      </c>
      <c r="AQ435" s="168">
        <f t="shared" si="74"/>
        <v>0</v>
      </c>
      <c r="AR435" s="168">
        <f t="shared" si="75"/>
        <v>0</v>
      </c>
      <c r="AS435" s="168">
        <f t="shared" si="76"/>
        <v>0</v>
      </c>
      <c r="AT435" s="168">
        <f t="shared" si="77"/>
        <v>0</v>
      </c>
      <c r="AU435" s="168">
        <f t="shared" si="78"/>
        <v>0</v>
      </c>
      <c r="AV435" s="168">
        <f t="shared" si="79"/>
        <v>0</v>
      </c>
      <c r="AW435" s="168">
        <f t="shared" si="80"/>
        <v>0</v>
      </c>
      <c r="AX435" s="168">
        <f t="shared" si="81"/>
        <v>0</v>
      </c>
      <c r="AY435" s="168">
        <f t="shared" si="82"/>
        <v>0</v>
      </c>
      <c r="AZ435" s="168">
        <f t="shared" si="83"/>
        <v>0</v>
      </c>
      <c r="BA435" s="141"/>
      <c r="IH435" s="142"/>
      <c r="II435" s="142"/>
      <c r="IJ435" s="142"/>
      <c r="IK435" s="142"/>
      <c r="IL435" s="142"/>
      <c r="IM435" s="142"/>
      <c r="IN435" s="142"/>
    </row>
    <row r="436" s="135" customFormat="1" ht="12.95" customHeight="1" spans="1:248">
      <c r="A436" s="154"/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  <c r="AA436" s="184"/>
      <c r="AB436" s="184"/>
      <c r="AC436" s="184"/>
      <c r="AD436" s="184"/>
      <c r="AE436" s="184"/>
      <c r="AF436" s="160"/>
      <c r="AG436" s="160"/>
      <c r="AH436" s="160"/>
      <c r="AI436" s="160"/>
      <c r="AJ436" s="160"/>
      <c r="AK436" s="160"/>
      <c r="AL436" s="184"/>
      <c r="AM436" s="1"/>
      <c r="AN436" s="168">
        <f t="shared" si="71"/>
        <v>0</v>
      </c>
      <c r="AO436" s="168">
        <f t="shared" si="72"/>
        <v>0</v>
      </c>
      <c r="AP436" s="168">
        <f t="shared" si="73"/>
        <v>0</v>
      </c>
      <c r="AQ436" s="168">
        <f t="shared" si="74"/>
        <v>0</v>
      </c>
      <c r="AR436" s="168">
        <f t="shared" si="75"/>
        <v>0</v>
      </c>
      <c r="AS436" s="168">
        <f t="shared" si="76"/>
        <v>0</v>
      </c>
      <c r="AT436" s="168">
        <f t="shared" si="77"/>
        <v>0</v>
      </c>
      <c r="AU436" s="168">
        <f t="shared" si="78"/>
        <v>0</v>
      </c>
      <c r="AV436" s="168">
        <f t="shared" si="79"/>
        <v>0</v>
      </c>
      <c r="AW436" s="168">
        <f t="shared" si="80"/>
        <v>0</v>
      </c>
      <c r="AX436" s="168">
        <f t="shared" si="81"/>
        <v>0</v>
      </c>
      <c r="AY436" s="168">
        <f t="shared" si="82"/>
        <v>0</v>
      </c>
      <c r="AZ436" s="168">
        <f t="shared" si="83"/>
        <v>0</v>
      </c>
      <c r="BA436" s="141"/>
      <c r="IH436" s="142"/>
      <c r="II436" s="142"/>
      <c r="IJ436" s="142"/>
      <c r="IK436" s="142"/>
      <c r="IL436" s="142"/>
      <c r="IM436" s="142"/>
      <c r="IN436" s="142"/>
    </row>
    <row r="437" s="135" customFormat="1" ht="12.95" customHeight="1" spans="1:248">
      <c r="A437" s="154"/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  <c r="AA437" s="184"/>
      <c r="AB437" s="184"/>
      <c r="AC437" s="184"/>
      <c r="AD437" s="184"/>
      <c r="AE437" s="184"/>
      <c r="AF437" s="160"/>
      <c r="AG437" s="160"/>
      <c r="AH437" s="160"/>
      <c r="AI437" s="160"/>
      <c r="AJ437" s="160"/>
      <c r="AK437" s="160"/>
      <c r="AL437" s="184"/>
      <c r="AM437" s="1"/>
      <c r="AN437" s="168">
        <f t="shared" si="71"/>
        <v>0</v>
      </c>
      <c r="AO437" s="168">
        <f t="shared" si="72"/>
        <v>0</v>
      </c>
      <c r="AP437" s="168">
        <f t="shared" si="73"/>
        <v>0</v>
      </c>
      <c r="AQ437" s="168">
        <f t="shared" si="74"/>
        <v>0</v>
      </c>
      <c r="AR437" s="168">
        <f t="shared" si="75"/>
        <v>0</v>
      </c>
      <c r="AS437" s="168">
        <f t="shared" si="76"/>
        <v>0</v>
      </c>
      <c r="AT437" s="168">
        <f t="shared" si="77"/>
        <v>0</v>
      </c>
      <c r="AU437" s="168">
        <f t="shared" si="78"/>
        <v>0</v>
      </c>
      <c r="AV437" s="168">
        <f t="shared" si="79"/>
        <v>0</v>
      </c>
      <c r="AW437" s="168">
        <f t="shared" si="80"/>
        <v>0</v>
      </c>
      <c r="AX437" s="168">
        <f t="shared" si="81"/>
        <v>0</v>
      </c>
      <c r="AY437" s="168">
        <f t="shared" si="82"/>
        <v>0</v>
      </c>
      <c r="AZ437" s="168">
        <f t="shared" si="83"/>
        <v>0</v>
      </c>
      <c r="BA437" s="141"/>
      <c r="IH437" s="142"/>
      <c r="II437" s="142"/>
      <c r="IJ437" s="142"/>
      <c r="IK437" s="142"/>
      <c r="IL437" s="142"/>
      <c r="IM437" s="142"/>
      <c r="IN437" s="142"/>
    </row>
    <row r="438" s="135" customFormat="1" ht="12.95" customHeight="1" spans="1:248">
      <c r="A438" s="154"/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  <c r="AA438" s="184"/>
      <c r="AB438" s="184"/>
      <c r="AC438" s="184"/>
      <c r="AD438" s="184"/>
      <c r="AE438" s="184"/>
      <c r="AF438" s="160"/>
      <c r="AG438" s="160"/>
      <c r="AH438" s="160"/>
      <c r="AI438" s="160"/>
      <c r="AJ438" s="160"/>
      <c r="AK438" s="160"/>
      <c r="AL438" s="184"/>
      <c r="AM438" s="1"/>
      <c r="AN438" s="168">
        <f t="shared" si="71"/>
        <v>0</v>
      </c>
      <c r="AO438" s="168">
        <f t="shared" si="72"/>
        <v>0</v>
      </c>
      <c r="AP438" s="168">
        <f t="shared" si="73"/>
        <v>0</v>
      </c>
      <c r="AQ438" s="168">
        <f t="shared" si="74"/>
        <v>0</v>
      </c>
      <c r="AR438" s="168">
        <f t="shared" si="75"/>
        <v>0</v>
      </c>
      <c r="AS438" s="168">
        <f t="shared" si="76"/>
        <v>0</v>
      </c>
      <c r="AT438" s="168">
        <f t="shared" si="77"/>
        <v>0</v>
      </c>
      <c r="AU438" s="168">
        <f t="shared" si="78"/>
        <v>0</v>
      </c>
      <c r="AV438" s="168">
        <f t="shared" si="79"/>
        <v>0</v>
      </c>
      <c r="AW438" s="168">
        <f t="shared" si="80"/>
        <v>0</v>
      </c>
      <c r="AX438" s="168">
        <f t="shared" si="81"/>
        <v>0</v>
      </c>
      <c r="AY438" s="168">
        <f t="shared" si="82"/>
        <v>0</v>
      </c>
      <c r="AZ438" s="168">
        <f t="shared" si="83"/>
        <v>0</v>
      </c>
      <c r="BA438" s="141"/>
      <c r="IH438" s="142"/>
      <c r="II438" s="142"/>
      <c r="IJ438" s="142"/>
      <c r="IK438" s="142"/>
      <c r="IL438" s="142"/>
      <c r="IM438" s="142"/>
      <c r="IN438" s="142"/>
    </row>
    <row r="439" s="135" customFormat="1" ht="12.95" customHeight="1" spans="1:248">
      <c r="A439" s="154"/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  <c r="AA439" s="184"/>
      <c r="AB439" s="184"/>
      <c r="AC439" s="184"/>
      <c r="AD439" s="184"/>
      <c r="AE439" s="184"/>
      <c r="AF439" s="160"/>
      <c r="AG439" s="160"/>
      <c r="AH439" s="160"/>
      <c r="AI439" s="160"/>
      <c r="AJ439" s="160"/>
      <c r="AK439" s="160"/>
      <c r="AL439" s="184"/>
      <c r="AM439" s="1"/>
      <c r="AN439" s="168">
        <f t="shared" si="71"/>
        <v>0</v>
      </c>
      <c r="AO439" s="168">
        <f t="shared" si="72"/>
        <v>0</v>
      </c>
      <c r="AP439" s="168">
        <f t="shared" si="73"/>
        <v>0</v>
      </c>
      <c r="AQ439" s="168">
        <f t="shared" si="74"/>
        <v>0</v>
      </c>
      <c r="AR439" s="168">
        <f t="shared" si="75"/>
        <v>0</v>
      </c>
      <c r="AS439" s="168">
        <f t="shared" si="76"/>
        <v>0</v>
      </c>
      <c r="AT439" s="168">
        <f t="shared" si="77"/>
        <v>0</v>
      </c>
      <c r="AU439" s="168">
        <f t="shared" si="78"/>
        <v>0</v>
      </c>
      <c r="AV439" s="168">
        <f t="shared" si="79"/>
        <v>0</v>
      </c>
      <c r="AW439" s="168">
        <f t="shared" si="80"/>
        <v>0</v>
      </c>
      <c r="AX439" s="168">
        <f t="shared" si="81"/>
        <v>0</v>
      </c>
      <c r="AY439" s="168">
        <f t="shared" si="82"/>
        <v>0</v>
      </c>
      <c r="AZ439" s="168">
        <f t="shared" si="83"/>
        <v>0</v>
      </c>
      <c r="BA439" s="141"/>
      <c r="IH439" s="142"/>
      <c r="II439" s="142"/>
      <c r="IJ439" s="142"/>
      <c r="IK439" s="142"/>
      <c r="IL439" s="142"/>
      <c r="IM439" s="142"/>
      <c r="IN439" s="142"/>
    </row>
    <row r="440" s="135" customFormat="1" ht="12.95" customHeight="1" spans="1:248">
      <c r="A440" s="154"/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  <c r="AA440" s="184"/>
      <c r="AB440" s="184"/>
      <c r="AC440" s="184"/>
      <c r="AD440" s="184"/>
      <c r="AE440" s="184"/>
      <c r="AF440" s="160"/>
      <c r="AG440" s="160"/>
      <c r="AH440" s="160"/>
      <c r="AI440" s="160"/>
      <c r="AJ440" s="160"/>
      <c r="AK440" s="160"/>
      <c r="AL440" s="184"/>
      <c r="AM440" s="1"/>
      <c r="AN440" s="168">
        <f t="shared" si="71"/>
        <v>0</v>
      </c>
      <c r="AO440" s="168">
        <f t="shared" si="72"/>
        <v>0</v>
      </c>
      <c r="AP440" s="168">
        <f t="shared" si="73"/>
        <v>0</v>
      </c>
      <c r="AQ440" s="168">
        <f t="shared" si="74"/>
        <v>0</v>
      </c>
      <c r="AR440" s="168">
        <f t="shared" si="75"/>
        <v>0</v>
      </c>
      <c r="AS440" s="168">
        <f t="shared" si="76"/>
        <v>0</v>
      </c>
      <c r="AT440" s="168">
        <f t="shared" si="77"/>
        <v>0</v>
      </c>
      <c r="AU440" s="168">
        <f t="shared" si="78"/>
        <v>0</v>
      </c>
      <c r="AV440" s="168">
        <f t="shared" si="79"/>
        <v>0</v>
      </c>
      <c r="AW440" s="168">
        <f t="shared" si="80"/>
        <v>0</v>
      </c>
      <c r="AX440" s="168">
        <f t="shared" si="81"/>
        <v>0</v>
      </c>
      <c r="AY440" s="168">
        <f t="shared" si="82"/>
        <v>0</v>
      </c>
      <c r="AZ440" s="168">
        <f t="shared" si="83"/>
        <v>0</v>
      </c>
      <c r="BA440" s="141"/>
      <c r="IH440" s="142"/>
      <c r="II440" s="142"/>
      <c r="IJ440" s="142"/>
      <c r="IK440" s="142"/>
      <c r="IL440" s="142"/>
      <c r="IM440" s="142"/>
      <c r="IN440" s="142"/>
    </row>
    <row r="441" s="135" customFormat="1" ht="12.95" customHeight="1" spans="1:248">
      <c r="A441" s="154"/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  <c r="AA441" s="184"/>
      <c r="AB441" s="184"/>
      <c r="AC441" s="184"/>
      <c r="AD441" s="184"/>
      <c r="AE441" s="184"/>
      <c r="AF441" s="160"/>
      <c r="AG441" s="160"/>
      <c r="AH441" s="160"/>
      <c r="AI441" s="160"/>
      <c r="AJ441" s="160"/>
      <c r="AK441" s="160"/>
      <c r="AL441" s="184"/>
      <c r="AM441" s="1"/>
      <c r="AN441" s="168">
        <f t="shared" si="71"/>
        <v>0</v>
      </c>
      <c r="AO441" s="168">
        <f t="shared" si="72"/>
        <v>0</v>
      </c>
      <c r="AP441" s="168">
        <f t="shared" si="73"/>
        <v>0</v>
      </c>
      <c r="AQ441" s="168">
        <f t="shared" si="74"/>
        <v>0</v>
      </c>
      <c r="AR441" s="168">
        <f t="shared" si="75"/>
        <v>0</v>
      </c>
      <c r="AS441" s="168">
        <f t="shared" si="76"/>
        <v>0</v>
      </c>
      <c r="AT441" s="168">
        <f t="shared" si="77"/>
        <v>0</v>
      </c>
      <c r="AU441" s="168">
        <f t="shared" si="78"/>
        <v>0</v>
      </c>
      <c r="AV441" s="168">
        <f t="shared" si="79"/>
        <v>0</v>
      </c>
      <c r="AW441" s="168">
        <f t="shared" si="80"/>
        <v>0</v>
      </c>
      <c r="AX441" s="168">
        <f t="shared" si="81"/>
        <v>0</v>
      </c>
      <c r="AY441" s="168">
        <f t="shared" si="82"/>
        <v>0</v>
      </c>
      <c r="AZ441" s="168">
        <f t="shared" si="83"/>
        <v>0</v>
      </c>
      <c r="BA441" s="141"/>
      <c r="IH441" s="142"/>
      <c r="II441" s="142"/>
      <c r="IJ441" s="142"/>
      <c r="IK441" s="142"/>
      <c r="IL441" s="142"/>
      <c r="IM441" s="142"/>
      <c r="IN441" s="142"/>
    </row>
    <row r="442" s="135" customFormat="1" ht="12.95" customHeight="1" spans="1:248">
      <c r="A442" s="154"/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  <c r="AA442" s="184"/>
      <c r="AB442" s="184"/>
      <c r="AC442" s="184"/>
      <c r="AD442" s="184"/>
      <c r="AE442" s="184"/>
      <c r="AF442" s="160"/>
      <c r="AG442" s="160"/>
      <c r="AH442" s="160"/>
      <c r="AI442" s="160"/>
      <c r="AJ442" s="160"/>
      <c r="AK442" s="160"/>
      <c r="AL442" s="184"/>
      <c r="AM442" s="1"/>
      <c r="AN442" s="168">
        <f t="shared" si="71"/>
        <v>0</v>
      </c>
      <c r="AO442" s="168">
        <f t="shared" si="72"/>
        <v>0</v>
      </c>
      <c r="AP442" s="168">
        <f t="shared" si="73"/>
        <v>0</v>
      </c>
      <c r="AQ442" s="168">
        <f t="shared" si="74"/>
        <v>0</v>
      </c>
      <c r="AR442" s="168">
        <f t="shared" si="75"/>
        <v>0</v>
      </c>
      <c r="AS442" s="168">
        <f t="shared" si="76"/>
        <v>0</v>
      </c>
      <c r="AT442" s="168">
        <f t="shared" si="77"/>
        <v>0</v>
      </c>
      <c r="AU442" s="168">
        <f t="shared" si="78"/>
        <v>0</v>
      </c>
      <c r="AV442" s="168">
        <f t="shared" si="79"/>
        <v>0</v>
      </c>
      <c r="AW442" s="168">
        <f t="shared" si="80"/>
        <v>0</v>
      </c>
      <c r="AX442" s="168">
        <f t="shared" si="81"/>
        <v>0</v>
      </c>
      <c r="AY442" s="168">
        <f t="shared" si="82"/>
        <v>0</v>
      </c>
      <c r="AZ442" s="168">
        <f t="shared" si="83"/>
        <v>0</v>
      </c>
      <c r="BA442" s="141"/>
      <c r="IH442" s="142"/>
      <c r="II442" s="142"/>
      <c r="IJ442" s="142"/>
      <c r="IK442" s="142"/>
      <c r="IL442" s="142"/>
      <c r="IM442" s="142"/>
      <c r="IN442" s="142"/>
    </row>
    <row r="443" s="135" customFormat="1" ht="12.95" customHeight="1" spans="1:248">
      <c r="A443" s="154"/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6"/>
      <c r="S443" s="184"/>
      <c r="T443" s="184"/>
      <c r="U443" s="184"/>
      <c r="V443" s="184"/>
      <c r="W443" s="184"/>
      <c r="X443" s="184"/>
      <c r="Y443" s="184"/>
      <c r="Z443" s="184"/>
      <c r="AA443" s="184"/>
      <c r="AB443" s="184"/>
      <c r="AC443" s="184"/>
      <c r="AD443" s="184"/>
      <c r="AE443" s="184"/>
      <c r="AF443" s="160"/>
      <c r="AG443" s="160"/>
      <c r="AH443" s="160"/>
      <c r="AI443" s="160"/>
      <c r="AJ443" s="160"/>
      <c r="AK443" s="160"/>
      <c r="AL443" s="184"/>
      <c r="AM443" s="1"/>
      <c r="AN443" s="168">
        <f t="shared" si="71"/>
        <v>0</v>
      </c>
      <c r="AO443" s="168">
        <f t="shared" si="72"/>
        <v>0</v>
      </c>
      <c r="AP443" s="168">
        <f t="shared" si="73"/>
        <v>0</v>
      </c>
      <c r="AQ443" s="168">
        <f t="shared" si="74"/>
        <v>0</v>
      </c>
      <c r="AR443" s="168">
        <f t="shared" si="75"/>
        <v>0</v>
      </c>
      <c r="AS443" s="168">
        <f t="shared" si="76"/>
        <v>0</v>
      </c>
      <c r="AT443" s="168">
        <f t="shared" si="77"/>
        <v>0</v>
      </c>
      <c r="AU443" s="168">
        <f t="shared" si="78"/>
        <v>0</v>
      </c>
      <c r="AV443" s="168">
        <f t="shared" si="79"/>
        <v>0</v>
      </c>
      <c r="AW443" s="168">
        <f t="shared" si="80"/>
        <v>0</v>
      </c>
      <c r="AX443" s="168">
        <f t="shared" si="81"/>
        <v>0</v>
      </c>
      <c r="AY443" s="168">
        <f t="shared" si="82"/>
        <v>0</v>
      </c>
      <c r="AZ443" s="168">
        <f t="shared" si="83"/>
        <v>0</v>
      </c>
      <c r="BA443" s="141"/>
      <c r="IH443" s="142"/>
      <c r="II443" s="142"/>
      <c r="IJ443" s="142"/>
      <c r="IK443" s="142"/>
      <c r="IL443" s="142"/>
      <c r="IM443" s="142"/>
      <c r="IN443" s="142"/>
    </row>
    <row r="444" s="135" customFormat="1" ht="12.95" customHeight="1" spans="1:248">
      <c r="A444" s="154"/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  <c r="AA444" s="184"/>
      <c r="AB444" s="184"/>
      <c r="AC444" s="184"/>
      <c r="AD444" s="184"/>
      <c r="AE444" s="184"/>
      <c r="AF444" s="160"/>
      <c r="AG444" s="160"/>
      <c r="AH444" s="160"/>
      <c r="AI444" s="160"/>
      <c r="AJ444" s="160"/>
      <c r="AK444" s="160"/>
      <c r="AL444" s="184"/>
      <c r="AM444" s="1"/>
      <c r="AN444" s="168">
        <f t="shared" si="71"/>
        <v>0</v>
      </c>
      <c r="AO444" s="168">
        <f t="shared" si="72"/>
        <v>0</v>
      </c>
      <c r="AP444" s="168">
        <f t="shared" si="73"/>
        <v>0</v>
      </c>
      <c r="AQ444" s="168">
        <f t="shared" si="74"/>
        <v>0</v>
      </c>
      <c r="AR444" s="168">
        <f t="shared" si="75"/>
        <v>0</v>
      </c>
      <c r="AS444" s="168">
        <f t="shared" si="76"/>
        <v>0</v>
      </c>
      <c r="AT444" s="168">
        <f t="shared" si="77"/>
        <v>0</v>
      </c>
      <c r="AU444" s="168">
        <f t="shared" si="78"/>
        <v>0</v>
      </c>
      <c r="AV444" s="168">
        <f t="shared" si="79"/>
        <v>0</v>
      </c>
      <c r="AW444" s="168">
        <f t="shared" si="80"/>
        <v>0</v>
      </c>
      <c r="AX444" s="168">
        <f t="shared" si="81"/>
        <v>0</v>
      </c>
      <c r="AY444" s="168">
        <f t="shared" si="82"/>
        <v>0</v>
      </c>
      <c r="AZ444" s="168">
        <f t="shared" si="83"/>
        <v>0</v>
      </c>
      <c r="BA444" s="141"/>
      <c r="IH444" s="142"/>
      <c r="II444" s="142"/>
      <c r="IJ444" s="142"/>
      <c r="IK444" s="142"/>
      <c r="IL444" s="142"/>
      <c r="IM444" s="142"/>
      <c r="IN444" s="142"/>
    </row>
    <row r="445" s="135" customFormat="1" ht="12.95" customHeight="1" spans="1:248">
      <c r="A445" s="154"/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  <c r="AA445" s="184"/>
      <c r="AB445" s="184"/>
      <c r="AC445" s="184"/>
      <c r="AD445" s="184"/>
      <c r="AE445" s="184"/>
      <c r="AF445" s="160"/>
      <c r="AG445" s="160"/>
      <c r="AH445" s="160"/>
      <c r="AI445" s="160"/>
      <c r="AJ445" s="160"/>
      <c r="AK445" s="160"/>
      <c r="AL445" s="184"/>
      <c r="AM445" s="1"/>
      <c r="AN445" s="168">
        <f t="shared" si="71"/>
        <v>0</v>
      </c>
      <c r="AO445" s="168">
        <f t="shared" si="72"/>
        <v>0</v>
      </c>
      <c r="AP445" s="168">
        <f t="shared" si="73"/>
        <v>0</v>
      </c>
      <c r="AQ445" s="168">
        <f t="shared" si="74"/>
        <v>0</v>
      </c>
      <c r="AR445" s="168">
        <f t="shared" si="75"/>
        <v>0</v>
      </c>
      <c r="AS445" s="168">
        <f t="shared" si="76"/>
        <v>0</v>
      </c>
      <c r="AT445" s="168">
        <f t="shared" si="77"/>
        <v>0</v>
      </c>
      <c r="AU445" s="168">
        <f t="shared" si="78"/>
        <v>0</v>
      </c>
      <c r="AV445" s="168">
        <f t="shared" si="79"/>
        <v>0</v>
      </c>
      <c r="AW445" s="168">
        <f t="shared" si="80"/>
        <v>0</v>
      </c>
      <c r="AX445" s="168">
        <f t="shared" si="81"/>
        <v>0</v>
      </c>
      <c r="AY445" s="168">
        <f t="shared" si="82"/>
        <v>0</v>
      </c>
      <c r="AZ445" s="168">
        <f t="shared" si="83"/>
        <v>0</v>
      </c>
      <c r="BA445" s="141"/>
      <c r="IH445" s="142"/>
      <c r="II445" s="142"/>
      <c r="IJ445" s="142"/>
      <c r="IK445" s="142"/>
      <c r="IL445" s="142"/>
      <c r="IM445" s="142"/>
      <c r="IN445" s="142"/>
    </row>
    <row r="446" s="135" customFormat="1" ht="12.95" customHeight="1" spans="1:248">
      <c r="A446" s="154"/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  <c r="AA446" s="184"/>
      <c r="AB446" s="184"/>
      <c r="AC446" s="184"/>
      <c r="AD446" s="184"/>
      <c r="AE446" s="184"/>
      <c r="AF446" s="160"/>
      <c r="AG446" s="160"/>
      <c r="AH446" s="160"/>
      <c r="AI446" s="160"/>
      <c r="AJ446" s="160"/>
      <c r="AK446" s="160"/>
      <c r="AL446" s="184"/>
      <c r="AM446" s="1"/>
      <c r="AN446" s="168">
        <f t="shared" si="71"/>
        <v>0</v>
      </c>
      <c r="AO446" s="168">
        <f t="shared" si="72"/>
        <v>0</v>
      </c>
      <c r="AP446" s="168">
        <f t="shared" si="73"/>
        <v>0</v>
      </c>
      <c r="AQ446" s="168">
        <f t="shared" si="74"/>
        <v>0</v>
      </c>
      <c r="AR446" s="168">
        <f t="shared" si="75"/>
        <v>0</v>
      </c>
      <c r="AS446" s="168">
        <f t="shared" si="76"/>
        <v>0</v>
      </c>
      <c r="AT446" s="168">
        <f t="shared" si="77"/>
        <v>0</v>
      </c>
      <c r="AU446" s="168">
        <f t="shared" si="78"/>
        <v>0</v>
      </c>
      <c r="AV446" s="168">
        <f t="shared" si="79"/>
        <v>0</v>
      </c>
      <c r="AW446" s="168">
        <f t="shared" si="80"/>
        <v>0</v>
      </c>
      <c r="AX446" s="168">
        <f t="shared" si="81"/>
        <v>0</v>
      </c>
      <c r="AY446" s="168">
        <f t="shared" si="82"/>
        <v>0</v>
      </c>
      <c r="AZ446" s="168">
        <f t="shared" si="83"/>
        <v>0</v>
      </c>
      <c r="BA446" s="141"/>
      <c r="IH446" s="142"/>
      <c r="II446" s="142"/>
      <c r="IJ446" s="142"/>
      <c r="IK446" s="142"/>
      <c r="IL446" s="142"/>
      <c r="IM446" s="142"/>
      <c r="IN446" s="142"/>
    </row>
    <row r="447" s="135" customFormat="1" ht="12.95" customHeight="1" spans="1:248">
      <c r="A447" s="154"/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  <c r="AA447" s="184"/>
      <c r="AB447" s="184"/>
      <c r="AC447" s="184"/>
      <c r="AD447" s="184"/>
      <c r="AE447" s="184"/>
      <c r="AF447" s="160"/>
      <c r="AG447" s="160"/>
      <c r="AH447" s="160"/>
      <c r="AI447" s="160"/>
      <c r="AJ447" s="160"/>
      <c r="AK447" s="160"/>
      <c r="AL447" s="184"/>
      <c r="AM447" s="1"/>
      <c r="AN447" s="168">
        <f t="shared" si="71"/>
        <v>0</v>
      </c>
      <c r="AO447" s="168">
        <f t="shared" si="72"/>
        <v>0</v>
      </c>
      <c r="AP447" s="168">
        <f t="shared" si="73"/>
        <v>0</v>
      </c>
      <c r="AQ447" s="168">
        <f t="shared" si="74"/>
        <v>0</v>
      </c>
      <c r="AR447" s="168">
        <f t="shared" si="75"/>
        <v>0</v>
      </c>
      <c r="AS447" s="168">
        <f t="shared" si="76"/>
        <v>0</v>
      </c>
      <c r="AT447" s="168">
        <f t="shared" si="77"/>
        <v>0</v>
      </c>
      <c r="AU447" s="168">
        <f t="shared" si="78"/>
        <v>0</v>
      </c>
      <c r="AV447" s="168">
        <f t="shared" si="79"/>
        <v>0</v>
      </c>
      <c r="AW447" s="168">
        <f t="shared" si="80"/>
        <v>0</v>
      </c>
      <c r="AX447" s="168">
        <f t="shared" si="81"/>
        <v>0</v>
      </c>
      <c r="AY447" s="168">
        <f t="shared" si="82"/>
        <v>0</v>
      </c>
      <c r="AZ447" s="168">
        <f t="shared" si="83"/>
        <v>0</v>
      </c>
      <c r="BA447" s="141"/>
      <c r="IH447" s="142"/>
      <c r="II447" s="142"/>
      <c r="IJ447" s="142"/>
      <c r="IK447" s="142"/>
      <c r="IL447" s="142"/>
      <c r="IM447" s="142"/>
      <c r="IN447" s="142"/>
    </row>
    <row r="448" s="135" customFormat="1" ht="12.95" customHeight="1" spans="1:248">
      <c r="A448" s="154"/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  <c r="AA448" s="184"/>
      <c r="AB448" s="184"/>
      <c r="AC448" s="184"/>
      <c r="AD448" s="184"/>
      <c r="AE448" s="184"/>
      <c r="AF448" s="160"/>
      <c r="AG448" s="160"/>
      <c r="AH448" s="160"/>
      <c r="AI448" s="160"/>
      <c r="AJ448" s="160"/>
      <c r="AK448" s="160"/>
      <c r="AL448" s="184"/>
      <c r="AM448" s="1"/>
      <c r="AN448" s="168">
        <f t="shared" si="71"/>
        <v>0</v>
      </c>
      <c r="AO448" s="168">
        <f t="shared" si="72"/>
        <v>0</v>
      </c>
      <c r="AP448" s="168">
        <f t="shared" si="73"/>
        <v>0</v>
      </c>
      <c r="AQ448" s="168">
        <f t="shared" si="74"/>
        <v>0</v>
      </c>
      <c r="AR448" s="168">
        <f t="shared" si="75"/>
        <v>0</v>
      </c>
      <c r="AS448" s="168">
        <f t="shared" si="76"/>
        <v>0</v>
      </c>
      <c r="AT448" s="168">
        <f t="shared" si="77"/>
        <v>0</v>
      </c>
      <c r="AU448" s="168">
        <f t="shared" si="78"/>
        <v>0</v>
      </c>
      <c r="AV448" s="168">
        <f t="shared" si="79"/>
        <v>0</v>
      </c>
      <c r="AW448" s="168">
        <f t="shared" si="80"/>
        <v>0</v>
      </c>
      <c r="AX448" s="168">
        <f t="shared" si="81"/>
        <v>0</v>
      </c>
      <c r="AY448" s="168">
        <f t="shared" si="82"/>
        <v>0</v>
      </c>
      <c r="AZ448" s="168">
        <f t="shared" si="83"/>
        <v>0</v>
      </c>
      <c r="BA448" s="141"/>
      <c r="IH448" s="142"/>
      <c r="II448" s="142"/>
      <c r="IJ448" s="142"/>
      <c r="IK448" s="142"/>
      <c r="IL448" s="142"/>
      <c r="IM448" s="142"/>
      <c r="IN448" s="142"/>
    </row>
    <row r="449" s="135" customFormat="1" ht="12.95" customHeight="1" spans="1:248">
      <c r="A449" s="154"/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  <c r="AA449" s="184"/>
      <c r="AB449" s="184"/>
      <c r="AC449" s="184"/>
      <c r="AD449" s="184"/>
      <c r="AE449" s="184"/>
      <c r="AF449" s="160"/>
      <c r="AG449" s="160"/>
      <c r="AH449" s="160"/>
      <c r="AI449" s="160"/>
      <c r="AJ449" s="160"/>
      <c r="AK449" s="160"/>
      <c r="AL449" s="184"/>
      <c r="AM449" s="1"/>
      <c r="AN449" s="168">
        <f t="shared" si="71"/>
        <v>0</v>
      </c>
      <c r="AO449" s="168">
        <f t="shared" si="72"/>
        <v>0</v>
      </c>
      <c r="AP449" s="168">
        <f t="shared" si="73"/>
        <v>0</v>
      </c>
      <c r="AQ449" s="168">
        <f t="shared" si="74"/>
        <v>0</v>
      </c>
      <c r="AR449" s="168">
        <f t="shared" si="75"/>
        <v>0</v>
      </c>
      <c r="AS449" s="168">
        <f t="shared" si="76"/>
        <v>0</v>
      </c>
      <c r="AT449" s="168">
        <f t="shared" si="77"/>
        <v>0</v>
      </c>
      <c r="AU449" s="168">
        <f t="shared" si="78"/>
        <v>0</v>
      </c>
      <c r="AV449" s="168">
        <f t="shared" si="79"/>
        <v>0</v>
      </c>
      <c r="AW449" s="168">
        <f t="shared" si="80"/>
        <v>0</v>
      </c>
      <c r="AX449" s="168">
        <f t="shared" si="81"/>
        <v>0</v>
      </c>
      <c r="AY449" s="168">
        <f t="shared" si="82"/>
        <v>0</v>
      </c>
      <c r="AZ449" s="168">
        <f t="shared" si="83"/>
        <v>0</v>
      </c>
      <c r="BA449" s="141"/>
      <c r="IH449" s="142"/>
      <c r="II449" s="142"/>
      <c r="IJ449" s="142"/>
      <c r="IK449" s="142"/>
      <c r="IL449" s="142"/>
      <c r="IM449" s="142"/>
      <c r="IN449" s="142"/>
    </row>
    <row r="450" s="135" customFormat="1" ht="12.95" customHeight="1" spans="1:248">
      <c r="A450" s="154"/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  <c r="AA450" s="184"/>
      <c r="AB450" s="184"/>
      <c r="AC450" s="184"/>
      <c r="AD450" s="184"/>
      <c r="AE450" s="184"/>
      <c r="AF450" s="160"/>
      <c r="AG450" s="160"/>
      <c r="AH450" s="160"/>
      <c r="AI450" s="160"/>
      <c r="AJ450" s="160"/>
      <c r="AK450" s="160"/>
      <c r="AL450" s="184"/>
      <c r="AM450" s="1"/>
      <c r="AN450" s="168">
        <f t="shared" si="71"/>
        <v>0</v>
      </c>
      <c r="AO450" s="168">
        <f t="shared" si="72"/>
        <v>0</v>
      </c>
      <c r="AP450" s="168">
        <f t="shared" si="73"/>
        <v>0</v>
      </c>
      <c r="AQ450" s="168">
        <f t="shared" si="74"/>
        <v>0</v>
      </c>
      <c r="AR450" s="168">
        <f t="shared" si="75"/>
        <v>0</v>
      </c>
      <c r="AS450" s="168">
        <f t="shared" si="76"/>
        <v>0</v>
      </c>
      <c r="AT450" s="168">
        <f t="shared" si="77"/>
        <v>0</v>
      </c>
      <c r="AU450" s="168">
        <f t="shared" si="78"/>
        <v>0</v>
      </c>
      <c r="AV450" s="168">
        <f t="shared" si="79"/>
        <v>0</v>
      </c>
      <c r="AW450" s="168">
        <f t="shared" si="80"/>
        <v>0</v>
      </c>
      <c r="AX450" s="168">
        <f t="shared" si="81"/>
        <v>0</v>
      </c>
      <c r="AY450" s="168">
        <f t="shared" si="82"/>
        <v>0</v>
      </c>
      <c r="AZ450" s="168">
        <f t="shared" si="83"/>
        <v>0</v>
      </c>
      <c r="BA450" s="141"/>
      <c r="IH450" s="142"/>
      <c r="II450" s="142"/>
      <c r="IJ450" s="142"/>
      <c r="IK450" s="142"/>
      <c r="IL450" s="142"/>
      <c r="IM450" s="142"/>
      <c r="IN450" s="142"/>
    </row>
    <row r="451" s="135" customFormat="1" ht="12.95" customHeight="1" spans="1:248">
      <c r="A451" s="154"/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  <c r="AA451" s="184"/>
      <c r="AB451" s="184"/>
      <c r="AC451" s="184"/>
      <c r="AD451" s="184"/>
      <c r="AE451" s="184"/>
      <c r="AF451" s="160"/>
      <c r="AG451" s="160"/>
      <c r="AH451" s="160"/>
      <c r="AI451" s="160"/>
      <c r="AJ451" s="160"/>
      <c r="AK451" s="160"/>
      <c r="AL451" s="184"/>
      <c r="AM451" s="1"/>
      <c r="AN451" s="168">
        <f t="shared" si="71"/>
        <v>0</v>
      </c>
      <c r="AO451" s="168">
        <f t="shared" si="72"/>
        <v>0</v>
      </c>
      <c r="AP451" s="168">
        <f t="shared" si="73"/>
        <v>0</v>
      </c>
      <c r="AQ451" s="168">
        <f t="shared" si="74"/>
        <v>0</v>
      </c>
      <c r="AR451" s="168">
        <f t="shared" si="75"/>
        <v>0</v>
      </c>
      <c r="AS451" s="168">
        <f t="shared" si="76"/>
        <v>0</v>
      </c>
      <c r="AT451" s="168">
        <f t="shared" si="77"/>
        <v>0</v>
      </c>
      <c r="AU451" s="168">
        <f t="shared" si="78"/>
        <v>0</v>
      </c>
      <c r="AV451" s="168">
        <f t="shared" si="79"/>
        <v>0</v>
      </c>
      <c r="AW451" s="168">
        <f t="shared" si="80"/>
        <v>0</v>
      </c>
      <c r="AX451" s="168">
        <f t="shared" si="81"/>
        <v>0</v>
      </c>
      <c r="AY451" s="168">
        <f t="shared" si="82"/>
        <v>0</v>
      </c>
      <c r="AZ451" s="168">
        <f t="shared" si="83"/>
        <v>0</v>
      </c>
      <c r="BA451" s="141"/>
      <c r="IH451" s="142"/>
      <c r="II451" s="142"/>
      <c r="IJ451" s="142"/>
      <c r="IK451" s="142"/>
      <c r="IL451" s="142"/>
      <c r="IM451" s="142"/>
      <c r="IN451" s="142"/>
    </row>
    <row r="452" s="135" customFormat="1" ht="12.95" customHeight="1" spans="1:248">
      <c r="A452" s="154"/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  <c r="AA452" s="184"/>
      <c r="AB452" s="184"/>
      <c r="AC452" s="184"/>
      <c r="AD452" s="184"/>
      <c r="AE452" s="184"/>
      <c r="AF452" s="160"/>
      <c r="AG452" s="160"/>
      <c r="AH452" s="160"/>
      <c r="AI452" s="160"/>
      <c r="AJ452" s="160"/>
      <c r="AK452" s="160"/>
      <c r="AL452" s="184"/>
      <c r="AM452" s="1"/>
      <c r="AN452" s="168">
        <f t="shared" si="71"/>
        <v>0</v>
      </c>
      <c r="AO452" s="168">
        <f t="shared" si="72"/>
        <v>0</v>
      </c>
      <c r="AP452" s="168">
        <f t="shared" si="73"/>
        <v>0</v>
      </c>
      <c r="AQ452" s="168">
        <f t="shared" si="74"/>
        <v>0</v>
      </c>
      <c r="AR452" s="168">
        <f t="shared" si="75"/>
        <v>0</v>
      </c>
      <c r="AS452" s="168">
        <f t="shared" si="76"/>
        <v>0</v>
      </c>
      <c r="AT452" s="168">
        <f t="shared" si="77"/>
        <v>0</v>
      </c>
      <c r="AU452" s="168">
        <f t="shared" si="78"/>
        <v>0</v>
      </c>
      <c r="AV452" s="168">
        <f t="shared" si="79"/>
        <v>0</v>
      </c>
      <c r="AW452" s="168">
        <f t="shared" si="80"/>
        <v>0</v>
      </c>
      <c r="AX452" s="168">
        <f t="shared" si="81"/>
        <v>0</v>
      </c>
      <c r="AY452" s="168">
        <f t="shared" si="82"/>
        <v>0</v>
      </c>
      <c r="AZ452" s="168">
        <f t="shared" si="83"/>
        <v>0</v>
      </c>
      <c r="BA452" s="141"/>
      <c r="IH452" s="142"/>
      <c r="II452" s="142"/>
      <c r="IJ452" s="142"/>
      <c r="IK452" s="142"/>
      <c r="IL452" s="142"/>
      <c r="IM452" s="142"/>
      <c r="IN452" s="142"/>
    </row>
    <row r="453" s="135" customFormat="1" ht="12.95" customHeight="1" spans="1:248">
      <c r="A453" s="154"/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  <c r="AA453" s="184"/>
      <c r="AB453" s="184"/>
      <c r="AC453" s="184"/>
      <c r="AD453" s="184"/>
      <c r="AE453" s="184"/>
      <c r="AF453" s="160"/>
      <c r="AG453" s="160"/>
      <c r="AH453" s="160"/>
      <c r="AI453" s="160"/>
      <c r="AJ453" s="160"/>
      <c r="AK453" s="160"/>
      <c r="AL453" s="184"/>
      <c r="AM453" s="1"/>
      <c r="AN453" s="168">
        <f t="shared" si="71"/>
        <v>0</v>
      </c>
      <c r="AO453" s="168">
        <f t="shared" si="72"/>
        <v>0</v>
      </c>
      <c r="AP453" s="168">
        <f t="shared" si="73"/>
        <v>0</v>
      </c>
      <c r="AQ453" s="168">
        <f t="shared" si="74"/>
        <v>0</v>
      </c>
      <c r="AR453" s="168">
        <f t="shared" si="75"/>
        <v>0</v>
      </c>
      <c r="AS453" s="168">
        <f t="shared" si="76"/>
        <v>0</v>
      </c>
      <c r="AT453" s="168">
        <f t="shared" si="77"/>
        <v>0</v>
      </c>
      <c r="AU453" s="168">
        <f t="shared" si="78"/>
        <v>0</v>
      </c>
      <c r="AV453" s="168">
        <f t="shared" si="79"/>
        <v>0</v>
      </c>
      <c r="AW453" s="168">
        <f t="shared" si="80"/>
        <v>0</v>
      </c>
      <c r="AX453" s="168">
        <f t="shared" si="81"/>
        <v>0</v>
      </c>
      <c r="AY453" s="168">
        <f t="shared" si="82"/>
        <v>0</v>
      </c>
      <c r="AZ453" s="168">
        <f t="shared" si="83"/>
        <v>0</v>
      </c>
      <c r="BA453" s="141"/>
      <c r="IH453" s="142"/>
      <c r="II453" s="142"/>
      <c r="IJ453" s="142"/>
      <c r="IK453" s="142"/>
      <c r="IL453" s="142"/>
      <c r="IM453" s="142"/>
      <c r="IN453" s="142"/>
    </row>
    <row r="454" s="135" customFormat="1" ht="12.95" customHeight="1" spans="1:248">
      <c r="A454" s="154"/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  <c r="AA454" s="184"/>
      <c r="AB454" s="184"/>
      <c r="AC454" s="184"/>
      <c r="AD454" s="184"/>
      <c r="AE454" s="184"/>
      <c r="AF454" s="160"/>
      <c r="AG454" s="160"/>
      <c r="AH454" s="160"/>
      <c r="AI454" s="160"/>
      <c r="AJ454" s="160"/>
      <c r="AK454" s="160"/>
      <c r="AL454" s="184"/>
      <c r="AM454" s="1"/>
      <c r="AN454" s="168">
        <f t="shared" si="71"/>
        <v>0</v>
      </c>
      <c r="AO454" s="168">
        <f t="shared" si="72"/>
        <v>0</v>
      </c>
      <c r="AP454" s="168">
        <f t="shared" si="73"/>
        <v>0</v>
      </c>
      <c r="AQ454" s="168">
        <f t="shared" si="74"/>
        <v>0</v>
      </c>
      <c r="AR454" s="168">
        <f t="shared" si="75"/>
        <v>0</v>
      </c>
      <c r="AS454" s="168">
        <f t="shared" si="76"/>
        <v>0</v>
      </c>
      <c r="AT454" s="168">
        <f t="shared" si="77"/>
        <v>0</v>
      </c>
      <c r="AU454" s="168">
        <f t="shared" si="78"/>
        <v>0</v>
      </c>
      <c r="AV454" s="168">
        <f t="shared" si="79"/>
        <v>0</v>
      </c>
      <c r="AW454" s="168">
        <f t="shared" si="80"/>
        <v>0</v>
      </c>
      <c r="AX454" s="168">
        <f t="shared" si="81"/>
        <v>0</v>
      </c>
      <c r="AY454" s="168">
        <f t="shared" si="82"/>
        <v>0</v>
      </c>
      <c r="AZ454" s="168">
        <f t="shared" si="83"/>
        <v>0</v>
      </c>
      <c r="BA454" s="141"/>
      <c r="IH454" s="142"/>
      <c r="II454" s="142"/>
      <c r="IJ454" s="142"/>
      <c r="IK454" s="142"/>
      <c r="IL454" s="142"/>
      <c r="IM454" s="142"/>
      <c r="IN454" s="142"/>
    </row>
    <row r="455" s="135" customFormat="1" ht="12.95" customHeight="1" spans="1:248">
      <c r="A455" s="154"/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  <c r="AA455" s="184"/>
      <c r="AB455" s="184"/>
      <c r="AC455" s="184"/>
      <c r="AD455" s="184"/>
      <c r="AE455" s="184"/>
      <c r="AF455" s="160"/>
      <c r="AG455" s="160"/>
      <c r="AH455" s="160"/>
      <c r="AI455" s="160"/>
      <c r="AJ455" s="160"/>
      <c r="AK455" s="160"/>
      <c r="AL455" s="184"/>
      <c r="AM455" s="1"/>
      <c r="AN455" s="168">
        <f t="shared" si="71"/>
        <v>0</v>
      </c>
      <c r="AO455" s="168">
        <f t="shared" si="72"/>
        <v>0</v>
      </c>
      <c r="AP455" s="168">
        <f t="shared" si="73"/>
        <v>0</v>
      </c>
      <c r="AQ455" s="168">
        <f t="shared" si="74"/>
        <v>0</v>
      </c>
      <c r="AR455" s="168">
        <f t="shared" si="75"/>
        <v>0</v>
      </c>
      <c r="AS455" s="168">
        <f t="shared" si="76"/>
        <v>0</v>
      </c>
      <c r="AT455" s="168">
        <f t="shared" si="77"/>
        <v>0</v>
      </c>
      <c r="AU455" s="168">
        <f t="shared" si="78"/>
        <v>0</v>
      </c>
      <c r="AV455" s="168">
        <f t="shared" si="79"/>
        <v>0</v>
      </c>
      <c r="AW455" s="168">
        <f t="shared" si="80"/>
        <v>0</v>
      </c>
      <c r="AX455" s="168">
        <f t="shared" si="81"/>
        <v>0</v>
      </c>
      <c r="AY455" s="168">
        <f t="shared" si="82"/>
        <v>0</v>
      </c>
      <c r="AZ455" s="168">
        <f t="shared" si="83"/>
        <v>0</v>
      </c>
      <c r="BA455" s="141"/>
      <c r="IH455" s="142"/>
      <c r="II455" s="142"/>
      <c r="IJ455" s="142"/>
      <c r="IK455" s="142"/>
      <c r="IL455" s="142"/>
      <c r="IM455" s="142"/>
      <c r="IN455" s="142"/>
    </row>
    <row r="456" s="135" customFormat="1" ht="12.95" customHeight="1" spans="1:248">
      <c r="A456" s="154"/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  <c r="AA456" s="184"/>
      <c r="AB456" s="184"/>
      <c r="AC456" s="184"/>
      <c r="AD456" s="184"/>
      <c r="AE456" s="184"/>
      <c r="AF456" s="160"/>
      <c r="AG456" s="160"/>
      <c r="AH456" s="160"/>
      <c r="AI456" s="160"/>
      <c r="AJ456" s="160"/>
      <c r="AK456" s="160"/>
      <c r="AL456" s="184"/>
      <c r="AM456" s="1"/>
      <c r="AN456" s="168">
        <f t="shared" si="71"/>
        <v>0</v>
      </c>
      <c r="AO456" s="168">
        <f t="shared" si="72"/>
        <v>0</v>
      </c>
      <c r="AP456" s="168">
        <f t="shared" si="73"/>
        <v>0</v>
      </c>
      <c r="AQ456" s="168">
        <f t="shared" si="74"/>
        <v>0</v>
      </c>
      <c r="AR456" s="168">
        <f t="shared" si="75"/>
        <v>0</v>
      </c>
      <c r="AS456" s="168">
        <f t="shared" si="76"/>
        <v>0</v>
      </c>
      <c r="AT456" s="168">
        <f t="shared" si="77"/>
        <v>0</v>
      </c>
      <c r="AU456" s="168">
        <f t="shared" si="78"/>
        <v>0</v>
      </c>
      <c r="AV456" s="168">
        <f t="shared" si="79"/>
        <v>0</v>
      </c>
      <c r="AW456" s="168">
        <f t="shared" si="80"/>
        <v>0</v>
      </c>
      <c r="AX456" s="168">
        <f t="shared" si="81"/>
        <v>0</v>
      </c>
      <c r="AY456" s="168">
        <f t="shared" si="82"/>
        <v>0</v>
      </c>
      <c r="AZ456" s="168">
        <f t="shared" si="83"/>
        <v>0</v>
      </c>
      <c r="BA456" s="141"/>
      <c r="IH456" s="142"/>
      <c r="II456" s="142"/>
      <c r="IJ456" s="142"/>
      <c r="IK456" s="142"/>
      <c r="IL456" s="142"/>
      <c r="IM456" s="142"/>
      <c r="IN456" s="142"/>
    </row>
    <row r="457" s="135" customFormat="1" ht="12.95" customHeight="1" spans="1:248">
      <c r="A457" s="154"/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  <c r="AA457" s="184"/>
      <c r="AB457" s="184"/>
      <c r="AC457" s="184"/>
      <c r="AD457" s="184"/>
      <c r="AE457" s="184"/>
      <c r="AF457" s="160"/>
      <c r="AG457" s="160"/>
      <c r="AH457" s="160"/>
      <c r="AI457" s="160"/>
      <c r="AJ457" s="160"/>
      <c r="AK457" s="160"/>
      <c r="AL457" s="184"/>
      <c r="AM457" s="1"/>
      <c r="AN457" s="168">
        <f t="shared" si="71"/>
        <v>0</v>
      </c>
      <c r="AO457" s="168">
        <f t="shared" si="72"/>
        <v>0</v>
      </c>
      <c r="AP457" s="168">
        <f t="shared" si="73"/>
        <v>0</v>
      </c>
      <c r="AQ457" s="168">
        <f t="shared" si="74"/>
        <v>0</v>
      </c>
      <c r="AR457" s="168">
        <f t="shared" si="75"/>
        <v>0</v>
      </c>
      <c r="AS457" s="168">
        <f t="shared" si="76"/>
        <v>0</v>
      </c>
      <c r="AT457" s="168">
        <f t="shared" si="77"/>
        <v>0</v>
      </c>
      <c r="AU457" s="168">
        <f t="shared" si="78"/>
        <v>0</v>
      </c>
      <c r="AV457" s="168">
        <f t="shared" si="79"/>
        <v>0</v>
      </c>
      <c r="AW457" s="168">
        <f t="shared" si="80"/>
        <v>0</v>
      </c>
      <c r="AX457" s="168">
        <f t="shared" si="81"/>
        <v>0</v>
      </c>
      <c r="AY457" s="168">
        <f t="shared" si="82"/>
        <v>0</v>
      </c>
      <c r="AZ457" s="168">
        <f t="shared" si="83"/>
        <v>0</v>
      </c>
      <c r="BA457" s="141"/>
      <c r="IH457" s="142"/>
      <c r="II457" s="142"/>
      <c r="IJ457" s="142"/>
      <c r="IK457" s="142"/>
      <c r="IL457" s="142"/>
      <c r="IM457" s="142"/>
      <c r="IN457" s="142"/>
    </row>
    <row r="458" s="135" customFormat="1" ht="12.95" customHeight="1" spans="1:248">
      <c r="A458" s="154"/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  <c r="AA458" s="184"/>
      <c r="AB458" s="184"/>
      <c r="AC458" s="184"/>
      <c r="AD458" s="184"/>
      <c r="AE458" s="184"/>
      <c r="AF458" s="160"/>
      <c r="AG458" s="160"/>
      <c r="AH458" s="160"/>
      <c r="AI458" s="160"/>
      <c r="AJ458" s="160"/>
      <c r="AK458" s="160"/>
      <c r="AL458" s="184"/>
      <c r="AM458" s="1"/>
      <c r="AN458" s="168">
        <f t="shared" si="71"/>
        <v>0</v>
      </c>
      <c r="AO458" s="168">
        <f t="shared" si="72"/>
        <v>0</v>
      </c>
      <c r="AP458" s="168">
        <f t="shared" si="73"/>
        <v>0</v>
      </c>
      <c r="AQ458" s="168">
        <f t="shared" si="74"/>
        <v>0</v>
      </c>
      <c r="AR458" s="168">
        <f t="shared" si="75"/>
        <v>0</v>
      </c>
      <c r="AS458" s="168">
        <f t="shared" si="76"/>
        <v>0</v>
      </c>
      <c r="AT458" s="168">
        <f t="shared" si="77"/>
        <v>0</v>
      </c>
      <c r="AU458" s="168">
        <f t="shared" si="78"/>
        <v>0</v>
      </c>
      <c r="AV458" s="168">
        <f t="shared" si="79"/>
        <v>0</v>
      </c>
      <c r="AW458" s="168">
        <f t="shared" si="80"/>
        <v>0</v>
      </c>
      <c r="AX458" s="168">
        <f t="shared" si="81"/>
        <v>0</v>
      </c>
      <c r="AY458" s="168">
        <f t="shared" si="82"/>
        <v>0</v>
      </c>
      <c r="AZ458" s="168">
        <f t="shared" si="83"/>
        <v>0</v>
      </c>
      <c r="BA458" s="141"/>
      <c r="IH458" s="142"/>
      <c r="II458" s="142"/>
      <c r="IJ458" s="142"/>
      <c r="IK458" s="142"/>
      <c r="IL458" s="142"/>
      <c r="IM458" s="142"/>
      <c r="IN458" s="142"/>
    </row>
    <row r="459" s="135" customFormat="1" ht="12.95" customHeight="1" spans="1:248">
      <c r="A459" s="154"/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  <c r="AA459" s="184"/>
      <c r="AB459" s="184"/>
      <c r="AC459" s="184"/>
      <c r="AD459" s="184"/>
      <c r="AE459" s="184"/>
      <c r="AF459" s="160"/>
      <c r="AG459" s="160"/>
      <c r="AH459" s="160"/>
      <c r="AI459" s="160"/>
      <c r="AJ459" s="160"/>
      <c r="AK459" s="160"/>
      <c r="AL459" s="184"/>
      <c r="AM459" s="1"/>
      <c r="AN459" s="168">
        <f t="shared" si="71"/>
        <v>0</v>
      </c>
      <c r="AO459" s="168">
        <f t="shared" si="72"/>
        <v>0</v>
      </c>
      <c r="AP459" s="168">
        <f t="shared" si="73"/>
        <v>0</v>
      </c>
      <c r="AQ459" s="168">
        <f t="shared" si="74"/>
        <v>0</v>
      </c>
      <c r="AR459" s="168">
        <f t="shared" si="75"/>
        <v>0</v>
      </c>
      <c r="AS459" s="168">
        <f t="shared" si="76"/>
        <v>0</v>
      </c>
      <c r="AT459" s="168">
        <f t="shared" si="77"/>
        <v>0</v>
      </c>
      <c r="AU459" s="168">
        <f t="shared" si="78"/>
        <v>0</v>
      </c>
      <c r="AV459" s="168">
        <f t="shared" si="79"/>
        <v>0</v>
      </c>
      <c r="AW459" s="168">
        <f t="shared" si="80"/>
        <v>0</v>
      </c>
      <c r="AX459" s="168">
        <f t="shared" si="81"/>
        <v>0</v>
      </c>
      <c r="AY459" s="168">
        <f t="shared" si="82"/>
        <v>0</v>
      </c>
      <c r="AZ459" s="168">
        <f t="shared" si="83"/>
        <v>0</v>
      </c>
      <c r="BA459" s="141"/>
      <c r="IH459" s="142"/>
      <c r="II459" s="142"/>
      <c r="IJ459" s="142"/>
      <c r="IK459" s="142"/>
      <c r="IL459" s="142"/>
      <c r="IM459" s="142"/>
      <c r="IN459" s="142"/>
    </row>
    <row r="460" s="135" customFormat="1" ht="12.95" customHeight="1" spans="1:248">
      <c r="A460" s="154"/>
      <c r="B460" s="184"/>
      <c r="C460" s="184"/>
      <c r="D460" s="184"/>
      <c r="E460" s="185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  <c r="AA460" s="184"/>
      <c r="AB460" s="184"/>
      <c r="AC460" s="184"/>
      <c r="AD460" s="184"/>
      <c r="AE460" s="184"/>
      <c r="AF460" s="160"/>
      <c r="AG460" s="160"/>
      <c r="AH460" s="160"/>
      <c r="AI460" s="160"/>
      <c r="AJ460" s="160"/>
      <c r="AK460" s="160"/>
      <c r="AL460" s="184"/>
      <c r="AM460" s="1"/>
      <c r="AN460" s="168">
        <f t="shared" si="71"/>
        <v>0</v>
      </c>
      <c r="AO460" s="168">
        <f t="shared" si="72"/>
        <v>0</v>
      </c>
      <c r="AP460" s="168">
        <f t="shared" si="73"/>
        <v>0</v>
      </c>
      <c r="AQ460" s="168">
        <f t="shared" si="74"/>
        <v>0</v>
      </c>
      <c r="AR460" s="168">
        <f t="shared" si="75"/>
        <v>0</v>
      </c>
      <c r="AS460" s="168">
        <f t="shared" si="76"/>
        <v>0</v>
      </c>
      <c r="AT460" s="168">
        <f t="shared" si="77"/>
        <v>0</v>
      </c>
      <c r="AU460" s="168">
        <f t="shared" si="78"/>
        <v>0</v>
      </c>
      <c r="AV460" s="168">
        <f t="shared" si="79"/>
        <v>0</v>
      </c>
      <c r="AW460" s="168">
        <f t="shared" si="80"/>
        <v>0</v>
      </c>
      <c r="AX460" s="168">
        <f t="shared" si="81"/>
        <v>0</v>
      </c>
      <c r="AY460" s="168">
        <f t="shared" si="82"/>
        <v>0</v>
      </c>
      <c r="AZ460" s="168">
        <f t="shared" si="83"/>
        <v>0</v>
      </c>
      <c r="BA460" s="141"/>
      <c r="IH460" s="142"/>
      <c r="II460" s="142"/>
      <c r="IJ460" s="142"/>
      <c r="IK460" s="142"/>
      <c r="IL460" s="142"/>
      <c r="IM460" s="142"/>
      <c r="IN460" s="142"/>
    </row>
    <row r="461" s="135" customFormat="1" ht="12.95" customHeight="1" spans="1:248">
      <c r="A461" s="154"/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  <c r="AA461" s="184"/>
      <c r="AB461" s="184"/>
      <c r="AC461" s="184"/>
      <c r="AD461" s="184"/>
      <c r="AE461" s="184"/>
      <c r="AF461" s="160"/>
      <c r="AG461" s="160"/>
      <c r="AH461" s="160"/>
      <c r="AI461" s="160"/>
      <c r="AJ461" s="160"/>
      <c r="AK461" s="160"/>
      <c r="AL461" s="184"/>
      <c r="AM461" s="1"/>
      <c r="AN461" s="168">
        <f t="shared" si="71"/>
        <v>0</v>
      </c>
      <c r="AO461" s="168">
        <f t="shared" si="72"/>
        <v>0</v>
      </c>
      <c r="AP461" s="168">
        <f t="shared" si="73"/>
        <v>0</v>
      </c>
      <c r="AQ461" s="168">
        <f t="shared" si="74"/>
        <v>0</v>
      </c>
      <c r="AR461" s="168">
        <f t="shared" si="75"/>
        <v>0</v>
      </c>
      <c r="AS461" s="168">
        <f t="shared" si="76"/>
        <v>0</v>
      </c>
      <c r="AT461" s="168">
        <f t="shared" si="77"/>
        <v>0</v>
      </c>
      <c r="AU461" s="168">
        <f t="shared" si="78"/>
        <v>0</v>
      </c>
      <c r="AV461" s="168">
        <f t="shared" si="79"/>
        <v>0</v>
      </c>
      <c r="AW461" s="168">
        <f t="shared" si="80"/>
        <v>0</v>
      </c>
      <c r="AX461" s="168">
        <f t="shared" si="81"/>
        <v>0</v>
      </c>
      <c r="AY461" s="168">
        <f t="shared" si="82"/>
        <v>0</v>
      </c>
      <c r="AZ461" s="168">
        <f t="shared" si="83"/>
        <v>0</v>
      </c>
      <c r="BA461" s="141"/>
      <c r="IH461" s="142"/>
      <c r="II461" s="142"/>
      <c r="IJ461" s="142"/>
      <c r="IK461" s="142"/>
      <c r="IL461" s="142"/>
      <c r="IM461" s="142"/>
      <c r="IN461" s="142"/>
    </row>
    <row r="462" s="135" customFormat="1" ht="12.95" customHeight="1" spans="1:248">
      <c r="A462" s="154"/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  <c r="AA462" s="184"/>
      <c r="AB462" s="184"/>
      <c r="AC462" s="184"/>
      <c r="AD462" s="184"/>
      <c r="AE462" s="184"/>
      <c r="AF462" s="160"/>
      <c r="AG462" s="160"/>
      <c r="AH462" s="160"/>
      <c r="AI462" s="160"/>
      <c r="AJ462" s="160"/>
      <c r="AK462" s="160"/>
      <c r="AL462" s="184"/>
      <c r="AM462" s="1"/>
      <c r="AN462" s="168">
        <f t="shared" si="71"/>
        <v>0</v>
      </c>
      <c r="AO462" s="168">
        <f t="shared" si="72"/>
        <v>0</v>
      </c>
      <c r="AP462" s="168">
        <f t="shared" si="73"/>
        <v>0</v>
      </c>
      <c r="AQ462" s="168">
        <f t="shared" si="74"/>
        <v>0</v>
      </c>
      <c r="AR462" s="168">
        <f t="shared" si="75"/>
        <v>0</v>
      </c>
      <c r="AS462" s="168">
        <f t="shared" si="76"/>
        <v>0</v>
      </c>
      <c r="AT462" s="168">
        <f t="shared" si="77"/>
        <v>0</v>
      </c>
      <c r="AU462" s="168">
        <f t="shared" si="78"/>
        <v>0</v>
      </c>
      <c r="AV462" s="168">
        <f t="shared" si="79"/>
        <v>0</v>
      </c>
      <c r="AW462" s="168">
        <f t="shared" si="80"/>
        <v>0</v>
      </c>
      <c r="AX462" s="168">
        <f t="shared" si="81"/>
        <v>0</v>
      </c>
      <c r="AY462" s="168">
        <f t="shared" si="82"/>
        <v>0</v>
      </c>
      <c r="AZ462" s="168">
        <f t="shared" si="83"/>
        <v>0</v>
      </c>
      <c r="BA462" s="141"/>
      <c r="IH462" s="142"/>
      <c r="II462" s="142"/>
      <c r="IJ462" s="142"/>
      <c r="IK462" s="142"/>
      <c r="IL462" s="142"/>
      <c r="IM462" s="142"/>
      <c r="IN462" s="142"/>
    </row>
    <row r="463" s="135" customFormat="1" ht="12.95" customHeight="1" spans="1:248">
      <c r="A463" s="154"/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  <c r="AA463" s="184"/>
      <c r="AB463" s="184"/>
      <c r="AC463" s="184"/>
      <c r="AD463" s="184"/>
      <c r="AE463" s="184"/>
      <c r="AF463" s="160"/>
      <c r="AG463" s="160"/>
      <c r="AH463" s="160"/>
      <c r="AI463" s="160"/>
      <c r="AJ463" s="160"/>
      <c r="AK463" s="160"/>
      <c r="AL463" s="184"/>
      <c r="AM463" s="1"/>
      <c r="AN463" s="168">
        <f t="shared" si="71"/>
        <v>0</v>
      </c>
      <c r="AO463" s="168">
        <f t="shared" si="72"/>
        <v>0</v>
      </c>
      <c r="AP463" s="168">
        <f t="shared" si="73"/>
        <v>0</v>
      </c>
      <c r="AQ463" s="168">
        <f t="shared" si="74"/>
        <v>0</v>
      </c>
      <c r="AR463" s="168">
        <f t="shared" si="75"/>
        <v>0</v>
      </c>
      <c r="AS463" s="168">
        <f t="shared" si="76"/>
        <v>0</v>
      </c>
      <c r="AT463" s="168">
        <f t="shared" si="77"/>
        <v>0</v>
      </c>
      <c r="AU463" s="168">
        <f t="shared" si="78"/>
        <v>0</v>
      </c>
      <c r="AV463" s="168">
        <f t="shared" si="79"/>
        <v>0</v>
      </c>
      <c r="AW463" s="168">
        <f t="shared" si="80"/>
        <v>0</v>
      </c>
      <c r="AX463" s="168">
        <f t="shared" si="81"/>
        <v>0</v>
      </c>
      <c r="AY463" s="168">
        <f t="shared" si="82"/>
        <v>0</v>
      </c>
      <c r="AZ463" s="168">
        <f t="shared" si="83"/>
        <v>0</v>
      </c>
      <c r="BA463" s="141"/>
      <c r="IH463" s="142"/>
      <c r="II463" s="142"/>
      <c r="IJ463" s="142"/>
      <c r="IK463" s="142"/>
      <c r="IL463" s="142"/>
      <c r="IM463" s="142"/>
      <c r="IN463" s="142"/>
    </row>
    <row r="464" s="135" customFormat="1" ht="12.95" customHeight="1" spans="1:248">
      <c r="A464" s="154"/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  <c r="AA464" s="184"/>
      <c r="AB464" s="184"/>
      <c r="AC464" s="184"/>
      <c r="AD464" s="184"/>
      <c r="AE464" s="184"/>
      <c r="AF464" s="160"/>
      <c r="AG464" s="160"/>
      <c r="AH464" s="160"/>
      <c r="AI464" s="160"/>
      <c r="AJ464" s="160"/>
      <c r="AK464" s="160"/>
      <c r="AL464" s="184"/>
      <c r="AM464" s="1"/>
      <c r="AN464" s="168">
        <f t="shared" si="71"/>
        <v>0</v>
      </c>
      <c r="AO464" s="168">
        <f t="shared" si="72"/>
        <v>0</v>
      </c>
      <c r="AP464" s="168">
        <f t="shared" si="73"/>
        <v>0</v>
      </c>
      <c r="AQ464" s="168">
        <f t="shared" si="74"/>
        <v>0</v>
      </c>
      <c r="AR464" s="168">
        <f t="shared" si="75"/>
        <v>0</v>
      </c>
      <c r="AS464" s="168">
        <f t="shared" si="76"/>
        <v>0</v>
      </c>
      <c r="AT464" s="168">
        <f t="shared" si="77"/>
        <v>0</v>
      </c>
      <c r="AU464" s="168">
        <f t="shared" si="78"/>
        <v>0</v>
      </c>
      <c r="AV464" s="168">
        <f t="shared" si="79"/>
        <v>0</v>
      </c>
      <c r="AW464" s="168">
        <f t="shared" si="80"/>
        <v>0</v>
      </c>
      <c r="AX464" s="168">
        <f t="shared" si="81"/>
        <v>0</v>
      </c>
      <c r="AY464" s="168">
        <f t="shared" si="82"/>
        <v>0</v>
      </c>
      <c r="AZ464" s="168">
        <f t="shared" si="83"/>
        <v>0</v>
      </c>
      <c r="BA464" s="141"/>
      <c r="IH464" s="142"/>
      <c r="II464" s="142"/>
      <c r="IJ464" s="142"/>
      <c r="IK464" s="142"/>
      <c r="IL464" s="142"/>
      <c r="IM464" s="142"/>
      <c r="IN464" s="142"/>
    </row>
    <row r="465" s="135" customFormat="1" ht="12.95" customHeight="1" spans="1:248">
      <c r="A465" s="154"/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  <c r="AA465" s="184"/>
      <c r="AB465" s="184"/>
      <c r="AC465" s="184"/>
      <c r="AD465" s="184"/>
      <c r="AE465" s="184"/>
      <c r="AF465" s="160"/>
      <c r="AG465" s="160"/>
      <c r="AH465" s="160"/>
      <c r="AI465" s="160"/>
      <c r="AJ465" s="160"/>
      <c r="AK465" s="160"/>
      <c r="AL465" s="184"/>
      <c r="AM465" s="1"/>
      <c r="AN465" s="168">
        <f t="shared" si="71"/>
        <v>0</v>
      </c>
      <c r="AO465" s="168">
        <f t="shared" si="72"/>
        <v>0</v>
      </c>
      <c r="AP465" s="168">
        <f t="shared" si="73"/>
        <v>0</v>
      </c>
      <c r="AQ465" s="168">
        <f t="shared" si="74"/>
        <v>0</v>
      </c>
      <c r="AR465" s="168">
        <f t="shared" si="75"/>
        <v>0</v>
      </c>
      <c r="AS465" s="168">
        <f t="shared" si="76"/>
        <v>0</v>
      </c>
      <c r="AT465" s="168">
        <f t="shared" si="77"/>
        <v>0</v>
      </c>
      <c r="AU465" s="168">
        <f t="shared" si="78"/>
        <v>0</v>
      </c>
      <c r="AV465" s="168">
        <f t="shared" si="79"/>
        <v>0</v>
      </c>
      <c r="AW465" s="168">
        <f t="shared" si="80"/>
        <v>0</v>
      </c>
      <c r="AX465" s="168">
        <f t="shared" si="81"/>
        <v>0</v>
      </c>
      <c r="AY465" s="168">
        <f t="shared" si="82"/>
        <v>0</v>
      </c>
      <c r="AZ465" s="168">
        <f t="shared" si="83"/>
        <v>0</v>
      </c>
      <c r="BA465" s="141"/>
      <c r="IH465" s="142"/>
      <c r="II465" s="142"/>
      <c r="IJ465" s="142"/>
      <c r="IK465" s="142"/>
      <c r="IL465" s="142"/>
      <c r="IM465" s="142"/>
      <c r="IN465" s="142"/>
    </row>
    <row r="466" s="135" customFormat="1" ht="12.95" customHeight="1" spans="1:248">
      <c r="A466" s="154"/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  <c r="AA466" s="184"/>
      <c r="AB466" s="184"/>
      <c r="AC466" s="184"/>
      <c r="AD466" s="184"/>
      <c r="AE466" s="184"/>
      <c r="AF466" s="160"/>
      <c r="AG466" s="160"/>
      <c r="AH466" s="160"/>
      <c r="AI466" s="160"/>
      <c r="AJ466" s="160"/>
      <c r="AK466" s="160"/>
      <c r="AL466" s="184"/>
      <c r="AM466" s="1"/>
      <c r="AN466" s="168">
        <f t="shared" si="71"/>
        <v>0</v>
      </c>
      <c r="AO466" s="168">
        <f t="shared" si="72"/>
        <v>0</v>
      </c>
      <c r="AP466" s="168">
        <f t="shared" si="73"/>
        <v>0</v>
      </c>
      <c r="AQ466" s="168">
        <f t="shared" si="74"/>
        <v>0</v>
      </c>
      <c r="AR466" s="168">
        <f t="shared" si="75"/>
        <v>0</v>
      </c>
      <c r="AS466" s="168">
        <f t="shared" si="76"/>
        <v>0</v>
      </c>
      <c r="AT466" s="168">
        <f t="shared" si="77"/>
        <v>0</v>
      </c>
      <c r="AU466" s="168">
        <f t="shared" si="78"/>
        <v>0</v>
      </c>
      <c r="AV466" s="168">
        <f t="shared" si="79"/>
        <v>0</v>
      </c>
      <c r="AW466" s="168">
        <f t="shared" si="80"/>
        <v>0</v>
      </c>
      <c r="AX466" s="168">
        <f t="shared" si="81"/>
        <v>0</v>
      </c>
      <c r="AY466" s="168">
        <f t="shared" si="82"/>
        <v>0</v>
      </c>
      <c r="AZ466" s="168">
        <f t="shared" si="83"/>
        <v>0</v>
      </c>
      <c r="BA466" s="141"/>
      <c r="IH466" s="142"/>
      <c r="II466" s="142"/>
      <c r="IJ466" s="142"/>
      <c r="IK466" s="142"/>
      <c r="IL466" s="142"/>
      <c r="IM466" s="142"/>
      <c r="IN466" s="142"/>
    </row>
    <row r="467" s="135" customFormat="1" ht="12.95" customHeight="1" spans="1:248">
      <c r="A467" s="154"/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  <c r="AA467" s="184"/>
      <c r="AB467" s="184"/>
      <c r="AC467" s="184"/>
      <c r="AD467" s="184"/>
      <c r="AE467" s="184"/>
      <c r="AF467" s="160"/>
      <c r="AG467" s="160"/>
      <c r="AH467" s="160"/>
      <c r="AI467" s="160"/>
      <c r="AJ467" s="160"/>
      <c r="AK467" s="160"/>
      <c r="AL467" s="184"/>
      <c r="AM467" s="1"/>
      <c r="AN467" s="168">
        <f t="shared" si="71"/>
        <v>0</v>
      </c>
      <c r="AO467" s="168">
        <f t="shared" si="72"/>
        <v>0</v>
      </c>
      <c r="AP467" s="168">
        <f t="shared" si="73"/>
        <v>0</v>
      </c>
      <c r="AQ467" s="168">
        <f t="shared" si="74"/>
        <v>0</v>
      </c>
      <c r="AR467" s="168">
        <f t="shared" si="75"/>
        <v>0</v>
      </c>
      <c r="AS467" s="168">
        <f t="shared" si="76"/>
        <v>0</v>
      </c>
      <c r="AT467" s="168">
        <f t="shared" si="77"/>
        <v>0</v>
      </c>
      <c r="AU467" s="168">
        <f t="shared" si="78"/>
        <v>0</v>
      </c>
      <c r="AV467" s="168">
        <f t="shared" si="79"/>
        <v>0</v>
      </c>
      <c r="AW467" s="168">
        <f t="shared" si="80"/>
        <v>0</v>
      </c>
      <c r="AX467" s="168">
        <f t="shared" si="81"/>
        <v>0</v>
      </c>
      <c r="AY467" s="168">
        <f t="shared" si="82"/>
        <v>0</v>
      </c>
      <c r="AZ467" s="168">
        <f t="shared" si="83"/>
        <v>0</v>
      </c>
      <c r="BA467" s="141"/>
      <c r="IH467" s="142"/>
      <c r="II467" s="142"/>
      <c r="IJ467" s="142"/>
      <c r="IK467" s="142"/>
      <c r="IL467" s="142"/>
      <c r="IM467" s="142"/>
      <c r="IN467" s="142"/>
    </row>
    <row r="468" s="135" customFormat="1" ht="12.95" customHeight="1" spans="1:248">
      <c r="A468" s="154"/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  <c r="AA468" s="184"/>
      <c r="AB468" s="184"/>
      <c r="AC468" s="184"/>
      <c r="AD468" s="184"/>
      <c r="AE468" s="184"/>
      <c r="AF468" s="160"/>
      <c r="AG468" s="160"/>
      <c r="AH468" s="160"/>
      <c r="AI468" s="160"/>
      <c r="AJ468" s="160"/>
      <c r="AK468" s="160"/>
      <c r="AL468" s="184"/>
      <c r="AM468" s="1"/>
      <c r="AN468" s="168">
        <f t="shared" si="71"/>
        <v>0</v>
      </c>
      <c r="AO468" s="168">
        <f t="shared" si="72"/>
        <v>0</v>
      </c>
      <c r="AP468" s="168">
        <f t="shared" si="73"/>
        <v>0</v>
      </c>
      <c r="AQ468" s="168">
        <f t="shared" si="74"/>
        <v>0</v>
      </c>
      <c r="AR468" s="168">
        <f t="shared" si="75"/>
        <v>0</v>
      </c>
      <c r="AS468" s="168">
        <f t="shared" si="76"/>
        <v>0</v>
      </c>
      <c r="AT468" s="168">
        <f t="shared" si="77"/>
        <v>0</v>
      </c>
      <c r="AU468" s="168">
        <f t="shared" si="78"/>
        <v>0</v>
      </c>
      <c r="AV468" s="168">
        <f t="shared" si="79"/>
        <v>0</v>
      </c>
      <c r="AW468" s="168">
        <f t="shared" si="80"/>
        <v>0</v>
      </c>
      <c r="AX468" s="168">
        <f t="shared" si="81"/>
        <v>0</v>
      </c>
      <c r="AY468" s="168">
        <f t="shared" si="82"/>
        <v>0</v>
      </c>
      <c r="AZ468" s="168">
        <f t="shared" si="83"/>
        <v>0</v>
      </c>
      <c r="BA468" s="141"/>
      <c r="IH468" s="142"/>
      <c r="II468" s="142"/>
      <c r="IJ468" s="142"/>
      <c r="IK468" s="142"/>
      <c r="IL468" s="142"/>
      <c r="IM468" s="142"/>
      <c r="IN468" s="142"/>
    </row>
    <row r="469" s="135" customFormat="1" ht="12.95" customHeight="1" spans="1:248">
      <c r="A469" s="154"/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  <c r="AA469" s="184"/>
      <c r="AB469" s="184"/>
      <c r="AC469" s="184"/>
      <c r="AD469" s="184"/>
      <c r="AE469" s="184"/>
      <c r="AF469" s="160"/>
      <c r="AG469" s="160"/>
      <c r="AH469" s="160"/>
      <c r="AI469" s="160"/>
      <c r="AJ469" s="160"/>
      <c r="AK469" s="160"/>
      <c r="AL469" s="184"/>
      <c r="AM469" s="1"/>
      <c r="AN469" s="168">
        <f t="shared" si="71"/>
        <v>0</v>
      </c>
      <c r="AO469" s="168">
        <f t="shared" si="72"/>
        <v>0</v>
      </c>
      <c r="AP469" s="168">
        <f t="shared" si="73"/>
        <v>0</v>
      </c>
      <c r="AQ469" s="168">
        <f t="shared" si="74"/>
        <v>0</v>
      </c>
      <c r="AR469" s="168">
        <f t="shared" si="75"/>
        <v>0</v>
      </c>
      <c r="AS469" s="168">
        <f t="shared" si="76"/>
        <v>0</v>
      </c>
      <c r="AT469" s="168">
        <f t="shared" si="77"/>
        <v>0</v>
      </c>
      <c r="AU469" s="168">
        <f t="shared" si="78"/>
        <v>0</v>
      </c>
      <c r="AV469" s="168">
        <f t="shared" si="79"/>
        <v>0</v>
      </c>
      <c r="AW469" s="168">
        <f t="shared" si="80"/>
        <v>0</v>
      </c>
      <c r="AX469" s="168">
        <f t="shared" si="81"/>
        <v>0</v>
      </c>
      <c r="AY469" s="168">
        <f t="shared" si="82"/>
        <v>0</v>
      </c>
      <c r="AZ469" s="168">
        <f t="shared" si="83"/>
        <v>0</v>
      </c>
      <c r="BA469" s="141"/>
      <c r="IH469" s="142"/>
      <c r="II469" s="142"/>
      <c r="IJ469" s="142"/>
      <c r="IK469" s="142"/>
      <c r="IL469" s="142"/>
      <c r="IM469" s="142"/>
      <c r="IN469" s="142"/>
    </row>
    <row r="470" s="135" customFormat="1" ht="12.95" customHeight="1" spans="1:248">
      <c r="A470" s="154"/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  <c r="AA470" s="184"/>
      <c r="AB470" s="184"/>
      <c r="AC470" s="184"/>
      <c r="AD470" s="184"/>
      <c r="AE470" s="184"/>
      <c r="AF470" s="160"/>
      <c r="AG470" s="160"/>
      <c r="AH470" s="160"/>
      <c r="AI470" s="160"/>
      <c r="AJ470" s="160"/>
      <c r="AK470" s="160"/>
      <c r="AL470" s="184"/>
      <c r="AM470" s="1"/>
      <c r="AN470" s="168">
        <f t="shared" si="71"/>
        <v>0</v>
      </c>
      <c r="AO470" s="168">
        <f t="shared" ref="AO470:AO478" si="84">COUNTIF(G470:AK470,"事")</f>
        <v>0</v>
      </c>
      <c r="AP470" s="168">
        <f t="shared" si="73"/>
        <v>0</v>
      </c>
      <c r="AQ470" s="168">
        <f t="shared" si="74"/>
        <v>0</v>
      </c>
      <c r="AR470" s="168">
        <f t="shared" si="75"/>
        <v>0</v>
      </c>
      <c r="AS470" s="168">
        <f t="shared" si="76"/>
        <v>0</v>
      </c>
      <c r="AT470" s="168">
        <f t="shared" si="77"/>
        <v>0</v>
      </c>
      <c r="AU470" s="168">
        <f t="shared" si="78"/>
        <v>0</v>
      </c>
      <c r="AV470" s="168">
        <f t="shared" si="79"/>
        <v>0</v>
      </c>
      <c r="AW470" s="168">
        <f t="shared" si="80"/>
        <v>0</v>
      </c>
      <c r="AX470" s="168">
        <f t="shared" si="81"/>
        <v>0</v>
      </c>
      <c r="AY470" s="168">
        <f t="shared" si="82"/>
        <v>0</v>
      </c>
      <c r="AZ470" s="168">
        <f t="shared" si="83"/>
        <v>0</v>
      </c>
      <c r="BA470" s="141"/>
      <c r="IH470" s="142"/>
      <c r="II470" s="142"/>
      <c r="IJ470" s="142"/>
      <c r="IK470" s="142"/>
      <c r="IL470" s="142"/>
      <c r="IM470" s="142"/>
      <c r="IN470" s="142"/>
    </row>
    <row r="471" s="135" customFormat="1" ht="12.95" customHeight="1" spans="1:248">
      <c r="A471" s="154"/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  <c r="AA471" s="184"/>
      <c r="AB471" s="184"/>
      <c r="AC471" s="184"/>
      <c r="AD471" s="184"/>
      <c r="AE471" s="184"/>
      <c r="AF471" s="160"/>
      <c r="AG471" s="160"/>
      <c r="AH471" s="160"/>
      <c r="AI471" s="160"/>
      <c r="AJ471" s="160"/>
      <c r="AK471" s="160"/>
      <c r="AL471" s="184"/>
      <c r="AM471" s="1"/>
      <c r="AN471" s="168">
        <f t="shared" ref="AN471:AN478" si="85">COUNTIF(G471:AK471,"病")</f>
        <v>0</v>
      </c>
      <c r="AO471" s="168">
        <f t="shared" si="84"/>
        <v>0</v>
      </c>
      <c r="AP471" s="168">
        <f t="shared" ref="AP471:AP478" si="86">COUNTIF(G471:AK471,"探")</f>
        <v>0</v>
      </c>
      <c r="AQ471" s="168">
        <f t="shared" si="74"/>
        <v>0</v>
      </c>
      <c r="AR471" s="168">
        <f t="shared" ref="AR471:AR478" si="87">COUNTIF(G471:AK471,"婚")+COUNTIF(G471:AK471,"丧")</f>
        <v>0</v>
      </c>
      <c r="AS471" s="168">
        <f t="shared" ref="AS471:AS478" si="88">COUNTIF(G471:AK471,"伤")</f>
        <v>0</v>
      </c>
      <c r="AT471" s="168">
        <f t="shared" ref="AT471:AT478" si="89">COUNTIF(G471:AK471,"护")</f>
        <v>0</v>
      </c>
      <c r="AU471" s="168">
        <f t="shared" ref="AU471:AU478" si="90">COUNTIF(G471:AK471,"旷")</f>
        <v>0</v>
      </c>
      <c r="AV471" s="168">
        <f t="shared" ref="AV471:AV478" si="91">COUNTIF(G471:AK471,"拘")</f>
        <v>0</v>
      </c>
      <c r="AW471" s="168">
        <f t="shared" ref="AW471:AW478" si="92">COUNTIF(G471:AK471,"疗")</f>
        <v>0</v>
      </c>
      <c r="AX471" s="168">
        <f t="shared" ref="AX471:AX478" si="93">COUNTIF(G471:AK471,"育")</f>
        <v>0</v>
      </c>
      <c r="AY471" s="168">
        <f t="shared" ref="AY471:AY478" si="94">COUNTIF(G471:AK471,"陪")</f>
        <v>0</v>
      </c>
      <c r="AZ471" s="168">
        <f t="shared" ref="AZ471:AZ478" si="95">SUM(AN471:AY471)-AW471</f>
        <v>0</v>
      </c>
      <c r="BA471" s="141"/>
      <c r="IH471" s="142"/>
      <c r="II471" s="142"/>
      <c r="IJ471" s="142"/>
      <c r="IK471" s="142"/>
      <c r="IL471" s="142"/>
      <c r="IM471" s="142"/>
      <c r="IN471" s="142"/>
    </row>
    <row r="472" s="135" customFormat="1" ht="12.95" customHeight="1" spans="1:248">
      <c r="A472" s="154"/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  <c r="AA472" s="184"/>
      <c r="AB472" s="184"/>
      <c r="AC472" s="184"/>
      <c r="AD472" s="184"/>
      <c r="AE472" s="184"/>
      <c r="AF472" s="160"/>
      <c r="AG472" s="160"/>
      <c r="AH472" s="160"/>
      <c r="AI472" s="160"/>
      <c r="AJ472" s="160"/>
      <c r="AK472" s="160"/>
      <c r="AL472" s="184"/>
      <c r="AM472" s="1"/>
      <c r="AN472" s="168">
        <f t="shared" si="85"/>
        <v>0</v>
      </c>
      <c r="AO472" s="168">
        <f t="shared" si="84"/>
        <v>0</v>
      </c>
      <c r="AP472" s="168">
        <f t="shared" si="86"/>
        <v>0</v>
      </c>
      <c r="AQ472" s="168">
        <f t="shared" ref="AQ472:AQ478" si="96">COUNTIF(G472:AK472,"年")</f>
        <v>0</v>
      </c>
      <c r="AR472" s="168">
        <f t="shared" si="87"/>
        <v>0</v>
      </c>
      <c r="AS472" s="168">
        <f t="shared" si="88"/>
        <v>0</v>
      </c>
      <c r="AT472" s="168">
        <f t="shared" si="89"/>
        <v>0</v>
      </c>
      <c r="AU472" s="168">
        <f t="shared" si="90"/>
        <v>0</v>
      </c>
      <c r="AV472" s="168">
        <f t="shared" si="91"/>
        <v>0</v>
      </c>
      <c r="AW472" s="168">
        <f t="shared" si="92"/>
        <v>0</v>
      </c>
      <c r="AX472" s="168">
        <f t="shared" si="93"/>
        <v>0</v>
      </c>
      <c r="AY472" s="168">
        <f t="shared" si="94"/>
        <v>0</v>
      </c>
      <c r="AZ472" s="168">
        <f t="shared" si="95"/>
        <v>0</v>
      </c>
      <c r="BA472" s="141"/>
      <c r="IH472" s="142"/>
      <c r="II472" s="142"/>
      <c r="IJ472" s="142"/>
      <c r="IK472" s="142"/>
      <c r="IL472" s="142"/>
      <c r="IM472" s="142"/>
      <c r="IN472" s="142"/>
    </row>
    <row r="473" s="135" customFormat="1" ht="12.95" customHeight="1" spans="1:248">
      <c r="A473" s="154"/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  <c r="AA473" s="184"/>
      <c r="AB473" s="184"/>
      <c r="AC473" s="184"/>
      <c r="AD473" s="184"/>
      <c r="AE473" s="184"/>
      <c r="AF473" s="160"/>
      <c r="AG473" s="160"/>
      <c r="AH473" s="160"/>
      <c r="AI473" s="160"/>
      <c r="AJ473" s="160"/>
      <c r="AK473" s="160"/>
      <c r="AL473" s="184"/>
      <c r="AM473" s="1"/>
      <c r="AN473" s="168">
        <f t="shared" si="85"/>
        <v>0</v>
      </c>
      <c r="AO473" s="168">
        <f t="shared" si="84"/>
        <v>0</v>
      </c>
      <c r="AP473" s="168">
        <f t="shared" si="86"/>
        <v>0</v>
      </c>
      <c r="AQ473" s="168">
        <f t="shared" si="96"/>
        <v>0</v>
      </c>
      <c r="AR473" s="168">
        <f t="shared" si="87"/>
        <v>0</v>
      </c>
      <c r="AS473" s="168">
        <f t="shared" si="88"/>
        <v>0</v>
      </c>
      <c r="AT473" s="168">
        <f t="shared" si="89"/>
        <v>0</v>
      </c>
      <c r="AU473" s="168">
        <f t="shared" si="90"/>
        <v>0</v>
      </c>
      <c r="AV473" s="168">
        <f t="shared" si="91"/>
        <v>0</v>
      </c>
      <c r="AW473" s="168">
        <f t="shared" si="92"/>
        <v>0</v>
      </c>
      <c r="AX473" s="168">
        <f t="shared" si="93"/>
        <v>0</v>
      </c>
      <c r="AY473" s="168">
        <f t="shared" si="94"/>
        <v>0</v>
      </c>
      <c r="AZ473" s="168">
        <f t="shared" si="95"/>
        <v>0</v>
      </c>
      <c r="BA473" s="141"/>
      <c r="IH473" s="142"/>
      <c r="II473" s="142"/>
      <c r="IJ473" s="142"/>
      <c r="IK473" s="142"/>
      <c r="IL473" s="142"/>
      <c r="IM473" s="142"/>
      <c r="IN473" s="142"/>
    </row>
    <row r="474" s="135" customFormat="1" ht="12.95" customHeight="1" spans="1:248">
      <c r="A474" s="154"/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  <c r="AA474" s="184"/>
      <c r="AB474" s="184"/>
      <c r="AC474" s="184"/>
      <c r="AD474" s="184"/>
      <c r="AE474" s="184"/>
      <c r="AF474" s="160"/>
      <c r="AG474" s="160"/>
      <c r="AH474" s="160"/>
      <c r="AI474" s="160"/>
      <c r="AJ474" s="160"/>
      <c r="AK474" s="160"/>
      <c r="AL474" s="184"/>
      <c r="AM474" s="1"/>
      <c r="AN474" s="168">
        <f t="shared" si="85"/>
        <v>0</v>
      </c>
      <c r="AO474" s="168">
        <f t="shared" si="84"/>
        <v>0</v>
      </c>
      <c r="AP474" s="168">
        <f t="shared" si="86"/>
        <v>0</v>
      </c>
      <c r="AQ474" s="168">
        <f t="shared" si="96"/>
        <v>0</v>
      </c>
      <c r="AR474" s="168">
        <f t="shared" si="87"/>
        <v>0</v>
      </c>
      <c r="AS474" s="168">
        <f t="shared" si="88"/>
        <v>0</v>
      </c>
      <c r="AT474" s="168">
        <f t="shared" si="89"/>
        <v>0</v>
      </c>
      <c r="AU474" s="168">
        <f t="shared" si="90"/>
        <v>0</v>
      </c>
      <c r="AV474" s="168">
        <f t="shared" si="91"/>
        <v>0</v>
      </c>
      <c r="AW474" s="168">
        <f t="shared" si="92"/>
        <v>0</v>
      </c>
      <c r="AX474" s="168">
        <f t="shared" si="93"/>
        <v>0</v>
      </c>
      <c r="AY474" s="168">
        <f t="shared" si="94"/>
        <v>0</v>
      </c>
      <c r="AZ474" s="168">
        <f t="shared" si="95"/>
        <v>0</v>
      </c>
      <c r="BA474" s="141"/>
      <c r="IH474" s="142"/>
      <c r="II474" s="142"/>
      <c r="IJ474" s="142"/>
      <c r="IK474" s="142"/>
      <c r="IL474" s="142"/>
      <c r="IM474" s="142"/>
      <c r="IN474" s="142"/>
    </row>
    <row r="475" s="135" customFormat="1" ht="12.95" customHeight="1" spans="1:248">
      <c r="A475" s="154"/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  <c r="AA475" s="184"/>
      <c r="AB475" s="184"/>
      <c r="AC475" s="184"/>
      <c r="AD475" s="184"/>
      <c r="AE475" s="184"/>
      <c r="AF475" s="160"/>
      <c r="AG475" s="160"/>
      <c r="AH475" s="160"/>
      <c r="AI475" s="160"/>
      <c r="AJ475" s="160"/>
      <c r="AK475" s="160"/>
      <c r="AL475" s="184"/>
      <c r="AM475" s="1"/>
      <c r="AN475" s="168">
        <f t="shared" si="85"/>
        <v>0</v>
      </c>
      <c r="AO475" s="168">
        <f t="shared" si="84"/>
        <v>0</v>
      </c>
      <c r="AP475" s="168">
        <f t="shared" si="86"/>
        <v>0</v>
      </c>
      <c r="AQ475" s="168">
        <f t="shared" si="96"/>
        <v>0</v>
      </c>
      <c r="AR475" s="168">
        <f t="shared" si="87"/>
        <v>0</v>
      </c>
      <c r="AS475" s="168">
        <f t="shared" si="88"/>
        <v>0</v>
      </c>
      <c r="AT475" s="168">
        <f t="shared" si="89"/>
        <v>0</v>
      </c>
      <c r="AU475" s="168">
        <f t="shared" si="90"/>
        <v>0</v>
      </c>
      <c r="AV475" s="168">
        <f t="shared" si="91"/>
        <v>0</v>
      </c>
      <c r="AW475" s="168">
        <f t="shared" si="92"/>
        <v>0</v>
      </c>
      <c r="AX475" s="168">
        <f t="shared" si="93"/>
        <v>0</v>
      </c>
      <c r="AY475" s="168">
        <f t="shared" si="94"/>
        <v>0</v>
      </c>
      <c r="AZ475" s="168">
        <f t="shared" si="95"/>
        <v>0</v>
      </c>
      <c r="BA475" s="141"/>
      <c r="IH475" s="142"/>
      <c r="II475" s="142"/>
      <c r="IJ475" s="142"/>
      <c r="IK475" s="142"/>
      <c r="IL475" s="142"/>
      <c r="IM475" s="142"/>
      <c r="IN475" s="142"/>
    </row>
    <row r="476" s="135" customFormat="1" ht="12.95" customHeight="1" spans="1:248">
      <c r="A476" s="154"/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  <c r="AA476" s="184"/>
      <c r="AB476" s="184"/>
      <c r="AC476" s="184"/>
      <c r="AD476" s="184"/>
      <c r="AE476" s="184"/>
      <c r="AF476" s="160"/>
      <c r="AG476" s="160"/>
      <c r="AH476" s="160"/>
      <c r="AI476" s="160"/>
      <c r="AJ476" s="160"/>
      <c r="AK476" s="160"/>
      <c r="AL476" s="184"/>
      <c r="AM476" s="1"/>
      <c r="AN476" s="168">
        <f t="shared" si="85"/>
        <v>0</v>
      </c>
      <c r="AO476" s="168">
        <f t="shared" si="84"/>
        <v>0</v>
      </c>
      <c r="AP476" s="168">
        <f t="shared" si="86"/>
        <v>0</v>
      </c>
      <c r="AQ476" s="168">
        <f t="shared" si="96"/>
        <v>0</v>
      </c>
      <c r="AR476" s="168">
        <f t="shared" si="87"/>
        <v>0</v>
      </c>
      <c r="AS476" s="168">
        <f t="shared" si="88"/>
        <v>0</v>
      </c>
      <c r="AT476" s="168">
        <f t="shared" si="89"/>
        <v>0</v>
      </c>
      <c r="AU476" s="168">
        <f t="shared" si="90"/>
        <v>0</v>
      </c>
      <c r="AV476" s="168">
        <f t="shared" si="91"/>
        <v>0</v>
      </c>
      <c r="AW476" s="168">
        <f t="shared" si="92"/>
        <v>0</v>
      </c>
      <c r="AX476" s="168">
        <f t="shared" si="93"/>
        <v>0</v>
      </c>
      <c r="AY476" s="168">
        <f t="shared" si="94"/>
        <v>0</v>
      </c>
      <c r="AZ476" s="168">
        <f t="shared" si="95"/>
        <v>0</v>
      </c>
      <c r="BA476" s="141"/>
      <c r="IH476" s="142"/>
      <c r="II476" s="142"/>
      <c r="IJ476" s="142"/>
      <c r="IK476" s="142"/>
      <c r="IL476" s="142"/>
      <c r="IM476" s="142"/>
      <c r="IN476" s="142"/>
    </row>
    <row r="477" s="135" customFormat="1" ht="12.95" customHeight="1" spans="1:248">
      <c r="A477" s="154"/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  <c r="AA477" s="184"/>
      <c r="AB477" s="184"/>
      <c r="AC477" s="184"/>
      <c r="AD477" s="184"/>
      <c r="AE477" s="184"/>
      <c r="AF477" s="160"/>
      <c r="AG477" s="160"/>
      <c r="AH477" s="160"/>
      <c r="AI477" s="160"/>
      <c r="AJ477" s="160"/>
      <c r="AK477" s="160"/>
      <c r="AL477" s="184"/>
      <c r="AM477" s="1"/>
      <c r="AN477" s="168">
        <f t="shared" si="85"/>
        <v>0</v>
      </c>
      <c r="AO477" s="168">
        <f t="shared" si="84"/>
        <v>0</v>
      </c>
      <c r="AP477" s="168">
        <f t="shared" si="86"/>
        <v>0</v>
      </c>
      <c r="AQ477" s="168">
        <f t="shared" si="96"/>
        <v>0</v>
      </c>
      <c r="AR477" s="168">
        <f t="shared" si="87"/>
        <v>0</v>
      </c>
      <c r="AS477" s="168">
        <f t="shared" si="88"/>
        <v>0</v>
      </c>
      <c r="AT477" s="168">
        <f t="shared" si="89"/>
        <v>0</v>
      </c>
      <c r="AU477" s="168">
        <f t="shared" si="90"/>
        <v>0</v>
      </c>
      <c r="AV477" s="168">
        <f t="shared" si="91"/>
        <v>0</v>
      </c>
      <c r="AW477" s="168">
        <f t="shared" si="92"/>
        <v>0</v>
      </c>
      <c r="AX477" s="168">
        <f t="shared" si="93"/>
        <v>0</v>
      </c>
      <c r="AY477" s="168">
        <f t="shared" si="94"/>
        <v>0</v>
      </c>
      <c r="AZ477" s="168">
        <f t="shared" si="95"/>
        <v>0</v>
      </c>
      <c r="BA477" s="141"/>
      <c r="IH477" s="142"/>
      <c r="II477" s="142"/>
      <c r="IJ477" s="142"/>
      <c r="IK477" s="142"/>
      <c r="IL477" s="142"/>
      <c r="IM477" s="142"/>
      <c r="IN477" s="142"/>
    </row>
    <row r="478" s="135" customFormat="1" ht="12.95" customHeight="1" spans="1:248">
      <c r="A478" s="154"/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  <c r="AA478" s="184"/>
      <c r="AB478" s="184"/>
      <c r="AC478" s="184"/>
      <c r="AD478" s="184"/>
      <c r="AE478" s="184"/>
      <c r="AF478" s="160"/>
      <c r="AG478" s="160"/>
      <c r="AH478" s="160"/>
      <c r="AI478" s="160"/>
      <c r="AJ478" s="160"/>
      <c r="AK478" s="160"/>
      <c r="AL478" s="184"/>
      <c r="AM478" s="1"/>
      <c r="AN478" s="168">
        <f t="shared" si="85"/>
        <v>0</v>
      </c>
      <c r="AO478" s="168">
        <f t="shared" si="84"/>
        <v>0</v>
      </c>
      <c r="AP478" s="168">
        <f t="shared" si="86"/>
        <v>0</v>
      </c>
      <c r="AQ478" s="168">
        <f t="shared" si="96"/>
        <v>0</v>
      </c>
      <c r="AR478" s="168">
        <f t="shared" si="87"/>
        <v>0</v>
      </c>
      <c r="AS478" s="168">
        <f t="shared" si="88"/>
        <v>0</v>
      </c>
      <c r="AT478" s="168">
        <f t="shared" si="89"/>
        <v>0</v>
      </c>
      <c r="AU478" s="168">
        <f t="shared" si="90"/>
        <v>0</v>
      </c>
      <c r="AV478" s="168">
        <f t="shared" si="91"/>
        <v>0</v>
      </c>
      <c r="AW478" s="168">
        <f t="shared" si="92"/>
        <v>0</v>
      </c>
      <c r="AX478" s="168">
        <f t="shared" si="93"/>
        <v>0</v>
      </c>
      <c r="AY478" s="168">
        <f t="shared" si="94"/>
        <v>0</v>
      </c>
      <c r="AZ478" s="168">
        <f t="shared" si="95"/>
        <v>0</v>
      </c>
      <c r="BA478" s="141"/>
      <c r="IH478" s="142"/>
      <c r="II478" s="142"/>
      <c r="IJ478" s="142"/>
      <c r="IK478" s="142"/>
      <c r="IL478" s="142"/>
      <c r="IM478" s="142"/>
      <c r="IN478" s="142"/>
    </row>
    <row r="479" s="135" customFormat="1" ht="12.95" customHeight="1" spans="1:248">
      <c r="A479" s="154"/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  <c r="AA479" s="184"/>
      <c r="AB479" s="184"/>
      <c r="AC479" s="184"/>
      <c r="AD479" s="184"/>
      <c r="AE479" s="184"/>
      <c r="AF479" s="160"/>
      <c r="AG479" s="160"/>
      <c r="AH479" s="160"/>
      <c r="AI479" s="160"/>
      <c r="AJ479" s="160"/>
      <c r="AK479" s="160"/>
      <c r="AL479" s="184"/>
      <c r="AM479" s="1"/>
      <c r="AN479" s="168"/>
      <c r="AO479" s="168"/>
      <c r="AP479" s="168"/>
      <c r="AQ479" s="168"/>
      <c r="AR479" s="168"/>
      <c r="AS479" s="168"/>
      <c r="AT479" s="168"/>
      <c r="AU479" s="168"/>
      <c r="AV479" s="168"/>
      <c r="AW479" s="168"/>
      <c r="AX479" s="168"/>
      <c r="AY479" s="168"/>
      <c r="AZ479" s="168"/>
      <c r="BA479" s="141"/>
      <c r="IH479" s="142"/>
      <c r="II479" s="142"/>
      <c r="IJ479" s="142"/>
      <c r="IK479" s="142"/>
      <c r="IL479" s="142"/>
      <c r="IM479" s="142"/>
      <c r="IN479" s="142"/>
    </row>
    <row r="480" s="135" customFormat="1" ht="12.95" customHeight="1" spans="1:248">
      <c r="A480" s="154"/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  <c r="AA480" s="184"/>
      <c r="AB480" s="184"/>
      <c r="AC480" s="184"/>
      <c r="AD480" s="184"/>
      <c r="AE480" s="184"/>
      <c r="AF480" s="160"/>
      <c r="AG480" s="160"/>
      <c r="AH480" s="160"/>
      <c r="AI480" s="160"/>
      <c r="AJ480" s="160"/>
      <c r="AK480" s="160"/>
      <c r="AL480" s="184"/>
      <c r="AM480" s="1"/>
      <c r="AN480" s="168"/>
      <c r="AO480" s="168"/>
      <c r="AP480" s="168"/>
      <c r="AQ480" s="168"/>
      <c r="AR480" s="168"/>
      <c r="AS480" s="168"/>
      <c r="AT480" s="168"/>
      <c r="AU480" s="168"/>
      <c r="AV480" s="168"/>
      <c r="AW480" s="168"/>
      <c r="AX480" s="168"/>
      <c r="AY480" s="168"/>
      <c r="AZ480" s="168"/>
      <c r="BA480" s="141"/>
      <c r="IH480" s="142"/>
      <c r="II480" s="142"/>
      <c r="IJ480" s="142"/>
      <c r="IK480" s="142"/>
      <c r="IL480" s="142"/>
      <c r="IM480" s="142"/>
      <c r="IN480" s="142"/>
    </row>
    <row r="481" s="135" customFormat="1" ht="12.95" customHeight="1" spans="1:248">
      <c r="A481" s="154"/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  <c r="AA481" s="184"/>
      <c r="AB481" s="184"/>
      <c r="AC481" s="184"/>
      <c r="AD481" s="184"/>
      <c r="AE481" s="184"/>
      <c r="AF481" s="160"/>
      <c r="AG481" s="160"/>
      <c r="AH481" s="160"/>
      <c r="AI481" s="160"/>
      <c r="AJ481" s="160"/>
      <c r="AK481" s="160"/>
      <c r="AL481" s="184"/>
      <c r="AM481" s="1"/>
      <c r="AN481" s="168"/>
      <c r="AO481" s="168"/>
      <c r="AP481" s="168"/>
      <c r="AQ481" s="168"/>
      <c r="AR481" s="168"/>
      <c r="AS481" s="168"/>
      <c r="AT481" s="168"/>
      <c r="AU481" s="168"/>
      <c r="AV481" s="168"/>
      <c r="AW481" s="168"/>
      <c r="AX481" s="168"/>
      <c r="AY481" s="168"/>
      <c r="AZ481" s="168"/>
      <c r="BA481" s="141"/>
      <c r="IH481" s="142"/>
      <c r="II481" s="142"/>
      <c r="IJ481" s="142"/>
      <c r="IK481" s="142"/>
      <c r="IL481" s="142"/>
      <c r="IM481" s="142"/>
      <c r="IN481" s="142"/>
    </row>
    <row r="482" s="135" customFormat="1" ht="12.95" customHeight="1" spans="1:248">
      <c r="A482" s="154"/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  <c r="AA482" s="184"/>
      <c r="AB482" s="184"/>
      <c r="AC482" s="184"/>
      <c r="AD482" s="184"/>
      <c r="AE482" s="184"/>
      <c r="AF482" s="160"/>
      <c r="AG482" s="160"/>
      <c r="AH482" s="160"/>
      <c r="AI482" s="160"/>
      <c r="AJ482" s="160"/>
      <c r="AK482" s="160"/>
      <c r="AL482" s="184"/>
      <c r="AM482" s="1"/>
      <c r="AN482" s="168">
        <f>COUNTIF(G482:AK482,"病")</f>
        <v>0</v>
      </c>
      <c r="AO482" s="168">
        <f>COUNTIF(G482:AK482,"事")</f>
        <v>0</v>
      </c>
      <c r="AP482" s="168">
        <f>COUNTIF(G482:AK482,"探")</f>
        <v>0</v>
      </c>
      <c r="AQ482" s="168">
        <f>COUNTIF(G482:AK482,"年")</f>
        <v>0</v>
      </c>
      <c r="AR482" s="168">
        <f>COUNTIF(G482:AK482,"婚")+COUNTIF(G482:AK482,"丧")</f>
        <v>0</v>
      </c>
      <c r="AS482" s="168">
        <f>COUNTIF(G482:AK482,"伤")</f>
        <v>0</v>
      </c>
      <c r="AT482" s="168">
        <f>COUNTIF(G482:AK482,"护")</f>
        <v>0</v>
      </c>
      <c r="AU482" s="168">
        <f>COUNTIF(G482:AK482,"旷")</f>
        <v>0</v>
      </c>
      <c r="AV482" s="168">
        <f>COUNTIF(G482:AK482,"拘")</f>
        <v>0</v>
      </c>
      <c r="AW482" s="168">
        <f>COUNTIF(G482:AK482,"疗")</f>
        <v>0</v>
      </c>
      <c r="AX482" s="168">
        <f>COUNTIF(G482:AK482,"育")</f>
        <v>0</v>
      </c>
      <c r="AY482" s="168">
        <f>COUNTIF(G482:AK482,"陪")</f>
        <v>0</v>
      </c>
      <c r="AZ482" s="168">
        <f t="shared" ref="AZ482:AZ484" si="97">SUM(AN482:AY482)-AW482</f>
        <v>0</v>
      </c>
      <c r="BA482" s="141"/>
      <c r="IH482" s="142"/>
      <c r="II482" s="142"/>
      <c r="IJ482" s="142"/>
      <c r="IK482" s="142"/>
      <c r="IL482" s="142"/>
      <c r="IM482" s="142"/>
      <c r="IN482" s="142"/>
    </row>
    <row r="483" s="135" customFormat="1" ht="12.95" customHeight="1" spans="1:248">
      <c r="A483" s="154"/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  <c r="AA483" s="184"/>
      <c r="AB483" s="184"/>
      <c r="AC483" s="184"/>
      <c r="AD483" s="184"/>
      <c r="AE483" s="184"/>
      <c r="AF483" s="160"/>
      <c r="AG483" s="160"/>
      <c r="AH483" s="160"/>
      <c r="AI483" s="160"/>
      <c r="AJ483" s="160"/>
      <c r="AK483" s="160"/>
      <c r="AL483" s="184"/>
      <c r="AM483" s="1"/>
      <c r="AN483" s="168">
        <f>COUNTIF(G483:AK483,"病")</f>
        <v>0</v>
      </c>
      <c r="AO483" s="168">
        <f>COUNTIF(G483:AK483,"事")</f>
        <v>0</v>
      </c>
      <c r="AP483" s="168">
        <f>COUNTIF(G483:AK483,"探")</f>
        <v>0</v>
      </c>
      <c r="AQ483" s="168">
        <f>COUNTIF(G483:AK483,"年")</f>
        <v>0</v>
      </c>
      <c r="AR483" s="168">
        <f>COUNTIF(G483:AK483,"婚")+COUNTIF(G483:AK483,"丧")</f>
        <v>0</v>
      </c>
      <c r="AS483" s="168">
        <f>COUNTIF(G483:AK483,"伤")</f>
        <v>0</v>
      </c>
      <c r="AT483" s="168">
        <f>COUNTIF(G483:AK483,"护")</f>
        <v>0</v>
      </c>
      <c r="AU483" s="168">
        <f>COUNTIF(G483:AK483,"旷")</f>
        <v>0</v>
      </c>
      <c r="AV483" s="168">
        <f>COUNTIF(G483:AK483,"拘")</f>
        <v>0</v>
      </c>
      <c r="AW483" s="168">
        <f>COUNTIF(G483:AK483,"疗")</f>
        <v>0</v>
      </c>
      <c r="AX483" s="168">
        <f>COUNTIF(G483:AK483,"育")</f>
        <v>0</v>
      </c>
      <c r="AY483" s="168">
        <f>COUNTIF(G483:AK483,"陪")</f>
        <v>0</v>
      </c>
      <c r="AZ483" s="168">
        <f t="shared" si="97"/>
        <v>0</v>
      </c>
      <c r="BA483" s="141"/>
      <c r="IH483" s="142"/>
      <c r="II483" s="142"/>
      <c r="IJ483" s="142"/>
      <c r="IK483" s="142"/>
      <c r="IL483" s="142"/>
      <c r="IM483" s="142"/>
      <c r="IN483" s="142"/>
    </row>
    <row r="484" s="135" customFormat="1" ht="12.95" customHeight="1" spans="1:248">
      <c r="A484" s="154"/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  <c r="AA484" s="184"/>
      <c r="AB484" s="184"/>
      <c r="AC484" s="184"/>
      <c r="AD484" s="184"/>
      <c r="AE484" s="184"/>
      <c r="AF484" s="160"/>
      <c r="AG484" s="160"/>
      <c r="AH484" s="160"/>
      <c r="AI484" s="160"/>
      <c r="AJ484" s="160"/>
      <c r="AK484" s="160"/>
      <c r="AL484" s="184"/>
      <c r="AM484" s="1"/>
      <c r="AN484" s="168">
        <f>COUNTIF(G484:AK484,"病")</f>
        <v>0</v>
      </c>
      <c r="AO484" s="168">
        <f>COUNTIF(G484:AK484,"事")</f>
        <v>0</v>
      </c>
      <c r="AP484" s="168">
        <f>COUNTIF(G484:AK484,"探")</f>
        <v>0</v>
      </c>
      <c r="AQ484" s="168">
        <f>COUNTIF(G484:AK484,"年")</f>
        <v>0</v>
      </c>
      <c r="AR484" s="168">
        <f>COUNTIF(G484:AK484,"婚")+COUNTIF(G484:AK484,"丧")</f>
        <v>0</v>
      </c>
      <c r="AS484" s="168">
        <f>COUNTIF(G484:AK484,"伤")</f>
        <v>0</v>
      </c>
      <c r="AT484" s="168">
        <f>COUNTIF(G484:AK484,"护")</f>
        <v>0</v>
      </c>
      <c r="AU484" s="168">
        <f>COUNTIF(G484:AK484,"旷")</f>
        <v>0</v>
      </c>
      <c r="AV484" s="168">
        <f>COUNTIF(G484:AK484,"拘")</f>
        <v>0</v>
      </c>
      <c r="AW484" s="168">
        <f>COUNTIF(G484:AK484,"疗")</f>
        <v>0</v>
      </c>
      <c r="AX484" s="168">
        <f>COUNTIF(G484:AK484,"育")</f>
        <v>0</v>
      </c>
      <c r="AY484" s="168">
        <f>COUNTIF(G484:AK484,"陪")</f>
        <v>0</v>
      </c>
      <c r="AZ484" s="168">
        <f t="shared" si="97"/>
        <v>0</v>
      </c>
      <c r="BA484" s="141"/>
      <c r="IH484" s="142"/>
      <c r="II484" s="142"/>
      <c r="IJ484" s="142"/>
      <c r="IK484" s="142"/>
      <c r="IL484" s="142"/>
      <c r="IM484" s="142"/>
      <c r="IN484" s="142"/>
    </row>
    <row r="485" s="135" customFormat="1" ht="15.95" customHeight="1" spans="1:53">
      <c r="A485" s="148"/>
      <c r="B485" s="139"/>
      <c r="C485" s="139"/>
      <c r="D485" s="140"/>
      <c r="E485" s="146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 t="s">
        <v>220</v>
      </c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  <c r="AC485" s="148"/>
      <c r="AD485" s="148"/>
      <c r="AE485" s="135" t="s">
        <v>221</v>
      </c>
      <c r="AL485" s="187"/>
      <c r="AM485" s="148"/>
      <c r="AN485" s="188">
        <f>SUM(AN6:AN484)</f>
        <v>37</v>
      </c>
      <c r="AO485" s="168">
        <f t="shared" ref="AO485:AZ485" si="98">SUM(AO6:AO484)</f>
        <v>1</v>
      </c>
      <c r="AP485" s="168">
        <f t="shared" si="98"/>
        <v>17</v>
      </c>
      <c r="AQ485" s="168">
        <f t="shared" si="98"/>
        <v>34</v>
      </c>
      <c r="AR485" s="168">
        <f t="shared" si="98"/>
        <v>0</v>
      </c>
      <c r="AS485" s="168">
        <f t="shared" si="98"/>
        <v>31</v>
      </c>
      <c r="AT485" s="168">
        <f t="shared" si="98"/>
        <v>0</v>
      </c>
      <c r="AU485" s="168">
        <f t="shared" si="98"/>
        <v>0</v>
      </c>
      <c r="AV485" s="168">
        <f t="shared" si="98"/>
        <v>0</v>
      </c>
      <c r="AW485" s="168">
        <f t="shared" si="98"/>
        <v>18</v>
      </c>
      <c r="AX485" s="168">
        <f t="shared" si="98"/>
        <v>0</v>
      </c>
      <c r="AY485" s="168">
        <f t="shared" si="98"/>
        <v>0</v>
      </c>
      <c r="AZ485" s="168">
        <f t="shared" si="98"/>
        <v>120</v>
      </c>
      <c r="BA485" s="141"/>
    </row>
    <row r="486" spans="38:38">
      <c r="AL486" s="187"/>
    </row>
    <row r="487" spans="38:38">
      <c r="AL487" s="187"/>
    </row>
    <row r="488" spans="38:38">
      <c r="AL488" s="148"/>
    </row>
  </sheetData>
  <autoFilter ref="A5:IS144">
    <extLst/>
  </autoFilter>
  <mergeCells count="19">
    <mergeCell ref="A2:AZ2"/>
    <mergeCell ref="A3:K3"/>
    <mergeCell ref="L3:Y3"/>
    <mergeCell ref="Z3:AF3"/>
    <mergeCell ref="AG3:AQ3"/>
    <mergeCell ref="AR3:AZ3"/>
    <mergeCell ref="G4:AK4"/>
    <mergeCell ref="AN4:AZ4"/>
    <mergeCell ref="E485:L485"/>
    <mergeCell ref="O485:Z485"/>
    <mergeCell ref="AE485:AH485"/>
    <mergeCell ref="A4:A5"/>
    <mergeCell ref="B4:B5"/>
    <mergeCell ref="C4:C5"/>
    <mergeCell ref="D4:D5"/>
    <mergeCell ref="E4:E5"/>
    <mergeCell ref="F4:F5"/>
    <mergeCell ref="AL4:AL5"/>
    <mergeCell ref="AM4:AM5"/>
  </mergeCells>
  <conditionalFormatting sqref="G6">
    <cfRule type="expression" dxfId="0" priority="9108">
      <formula>G6=“探”</formula>
    </cfRule>
    <cfRule type="expression" dxfId="1" priority="9107">
      <formula>G6="年"</formula>
    </cfRule>
  </conditionalFormatting>
  <conditionalFormatting sqref="AH7">
    <cfRule type="expression" dxfId="2" priority="1388">
      <formula>AH7="病"</formula>
    </cfRule>
    <cfRule type="expression" dxfId="3" priority="1387">
      <formula>AH7="事"</formula>
    </cfRule>
    <cfRule type="expression" dxfId="4" priority="1386">
      <formula>AH7="年"</formula>
    </cfRule>
    <cfRule type="expression" dxfId="5" priority="1385">
      <formula>AH7="探"</formula>
    </cfRule>
  </conditionalFormatting>
  <conditionalFormatting sqref="G13:H13">
    <cfRule type="expression" dxfId="2" priority="6320">
      <formula>G13="病"</formula>
    </cfRule>
    <cfRule type="expression" dxfId="3" priority="6319">
      <formula>G13="事"</formula>
    </cfRule>
    <cfRule type="expression" dxfId="4" priority="6318">
      <formula>G13="年"</formula>
    </cfRule>
    <cfRule type="expression" dxfId="5" priority="6317">
      <formula>G13="探"</formula>
    </cfRule>
  </conditionalFormatting>
  <conditionalFormatting sqref="I13">
    <cfRule type="expression" dxfId="2" priority="6324">
      <formula>I13="病"</formula>
    </cfRule>
    <cfRule type="expression" dxfId="3" priority="6323">
      <formula>I13="事"</formula>
    </cfRule>
    <cfRule type="expression" dxfId="4" priority="6322">
      <formula>I13="年"</formula>
    </cfRule>
    <cfRule type="expression" dxfId="5" priority="6321">
      <formula>I13="探"</formula>
    </cfRule>
  </conditionalFormatting>
  <conditionalFormatting sqref="K13:L13">
    <cfRule type="expression" dxfId="2" priority="6160">
      <formula>K13="病"</formula>
    </cfRule>
    <cfRule type="expression" dxfId="3" priority="6159">
      <formula>K13="事"</formula>
    </cfRule>
    <cfRule type="expression" dxfId="4" priority="6158">
      <formula>K13="年"</formula>
    </cfRule>
    <cfRule type="expression" dxfId="5" priority="6157">
      <formula>K13="探"</formula>
    </cfRule>
  </conditionalFormatting>
  <conditionalFormatting sqref="M13">
    <cfRule type="expression" dxfId="2" priority="6164">
      <formula>M13="病"</formula>
    </cfRule>
    <cfRule type="expression" dxfId="3" priority="6163">
      <formula>M13="事"</formula>
    </cfRule>
    <cfRule type="expression" dxfId="4" priority="6162">
      <formula>M13="年"</formula>
    </cfRule>
    <cfRule type="expression" dxfId="5" priority="6161">
      <formula>M13="探"</formula>
    </cfRule>
  </conditionalFormatting>
  <conditionalFormatting sqref="N13">
    <cfRule type="expression" dxfId="2" priority="6168">
      <formula>N13="病"</formula>
    </cfRule>
    <cfRule type="expression" dxfId="3" priority="6167">
      <formula>N13="事"</formula>
    </cfRule>
    <cfRule type="expression" dxfId="4" priority="6166">
      <formula>N13="年"</formula>
    </cfRule>
    <cfRule type="expression" dxfId="5" priority="6165">
      <formula>N13="探"</formula>
    </cfRule>
  </conditionalFormatting>
  <conditionalFormatting sqref="O13">
    <cfRule type="expression" dxfId="2" priority="1276">
      <formula>O13="病"</formula>
    </cfRule>
    <cfRule type="expression" dxfId="3" priority="1275">
      <formula>O13="事"</formula>
    </cfRule>
    <cfRule type="expression" dxfId="4" priority="1274">
      <formula>O13="年"</formula>
    </cfRule>
    <cfRule type="expression" dxfId="5" priority="1273">
      <formula>O13="探"</formula>
    </cfRule>
  </conditionalFormatting>
  <conditionalFormatting sqref="P13">
    <cfRule type="expression" dxfId="2" priority="1280">
      <formula>P13="病"</formula>
    </cfRule>
    <cfRule type="expression" dxfId="3" priority="1279">
      <formula>P13="事"</formula>
    </cfRule>
    <cfRule type="expression" dxfId="4" priority="1278">
      <formula>P13="年"</formula>
    </cfRule>
    <cfRule type="expression" dxfId="5" priority="1277">
      <formula>P13="探"</formula>
    </cfRule>
  </conditionalFormatting>
  <conditionalFormatting sqref="Q13">
    <cfRule type="expression" dxfId="2" priority="1284">
      <formula>Q13="病"</formula>
    </cfRule>
    <cfRule type="expression" dxfId="3" priority="1283">
      <formula>Q13="事"</formula>
    </cfRule>
    <cfRule type="expression" dxfId="4" priority="1282">
      <formula>Q13="年"</formula>
    </cfRule>
    <cfRule type="expression" dxfId="5" priority="1281">
      <formula>Q13="探"</formula>
    </cfRule>
  </conditionalFormatting>
  <conditionalFormatting sqref="R13">
    <cfRule type="expression" dxfId="2" priority="1264">
      <formula>R13="病"</formula>
    </cfRule>
    <cfRule type="expression" dxfId="3" priority="1263">
      <formula>R13="事"</formula>
    </cfRule>
    <cfRule type="expression" dxfId="4" priority="1262">
      <formula>R13="年"</formula>
    </cfRule>
    <cfRule type="expression" dxfId="5" priority="1261">
      <formula>R13="探"</formula>
    </cfRule>
  </conditionalFormatting>
  <conditionalFormatting sqref="S13">
    <cfRule type="expression" dxfId="2" priority="1268">
      <formula>S13="病"</formula>
    </cfRule>
    <cfRule type="expression" dxfId="3" priority="1267">
      <formula>S13="事"</formula>
    </cfRule>
    <cfRule type="expression" dxfId="4" priority="1266">
      <formula>S13="年"</formula>
    </cfRule>
    <cfRule type="expression" dxfId="5" priority="1265">
      <formula>S13="探"</formula>
    </cfRule>
  </conditionalFormatting>
  <conditionalFormatting sqref="T13">
    <cfRule type="expression" dxfId="2" priority="1272">
      <formula>T13="病"</formula>
    </cfRule>
    <cfRule type="expression" dxfId="3" priority="1271">
      <formula>T13="事"</formula>
    </cfRule>
    <cfRule type="expression" dxfId="4" priority="1270">
      <formula>T13="年"</formula>
    </cfRule>
    <cfRule type="expression" dxfId="5" priority="1269">
      <formula>T13="探"</formula>
    </cfRule>
  </conditionalFormatting>
  <conditionalFormatting sqref="U13">
    <cfRule type="expression" dxfId="2" priority="1252">
      <formula>U13="病"</formula>
    </cfRule>
    <cfRule type="expression" dxfId="3" priority="1251">
      <formula>U13="事"</formula>
    </cfRule>
    <cfRule type="expression" dxfId="4" priority="1250">
      <formula>U13="年"</formula>
    </cfRule>
    <cfRule type="expression" dxfId="5" priority="1249">
      <formula>U13="探"</formula>
    </cfRule>
  </conditionalFormatting>
  <conditionalFormatting sqref="V13">
    <cfRule type="expression" dxfId="2" priority="1256">
      <formula>V13="病"</formula>
    </cfRule>
    <cfRule type="expression" dxfId="3" priority="1255">
      <formula>V13="事"</formula>
    </cfRule>
    <cfRule type="expression" dxfId="4" priority="1254">
      <formula>V13="年"</formula>
    </cfRule>
    <cfRule type="expression" dxfId="5" priority="1253">
      <formula>V13="探"</formula>
    </cfRule>
  </conditionalFormatting>
  <conditionalFormatting sqref="W13">
    <cfRule type="expression" dxfId="2" priority="1260">
      <formula>W13="病"</formula>
    </cfRule>
    <cfRule type="expression" dxfId="3" priority="1259">
      <formula>W13="事"</formula>
    </cfRule>
    <cfRule type="expression" dxfId="4" priority="1258">
      <formula>W13="年"</formula>
    </cfRule>
    <cfRule type="expression" dxfId="5" priority="1257">
      <formula>W13="探"</formula>
    </cfRule>
  </conditionalFormatting>
  <conditionalFormatting sqref="X13">
    <cfRule type="expression" dxfId="2" priority="1240">
      <formula>X13="病"</formula>
    </cfRule>
    <cfRule type="expression" dxfId="3" priority="1239">
      <formula>X13="事"</formula>
    </cfRule>
    <cfRule type="expression" dxfId="4" priority="1238">
      <formula>X13="年"</formula>
    </cfRule>
    <cfRule type="expression" dxfId="5" priority="1237">
      <formula>X13="探"</formula>
    </cfRule>
  </conditionalFormatting>
  <conditionalFormatting sqref="Y13">
    <cfRule type="expression" dxfId="2" priority="1244">
      <formula>Y13="病"</formula>
    </cfRule>
    <cfRule type="expression" dxfId="3" priority="1243">
      <formula>Y13="事"</formula>
    </cfRule>
    <cfRule type="expression" dxfId="4" priority="1242">
      <formula>Y13="年"</formula>
    </cfRule>
    <cfRule type="expression" dxfId="5" priority="1241">
      <formula>Y13="探"</formula>
    </cfRule>
  </conditionalFormatting>
  <conditionalFormatting sqref="Z13">
    <cfRule type="expression" dxfId="2" priority="1248">
      <formula>Z13="病"</formula>
    </cfRule>
    <cfRule type="expression" dxfId="3" priority="1247">
      <formula>Z13="事"</formula>
    </cfRule>
    <cfRule type="expression" dxfId="4" priority="1246">
      <formula>Z13="年"</formula>
    </cfRule>
    <cfRule type="expression" dxfId="5" priority="1245">
      <formula>Z13="探"</formula>
    </cfRule>
  </conditionalFormatting>
  <conditionalFormatting sqref="AA13">
    <cfRule type="expression" dxfId="2" priority="1228">
      <formula>AA13="病"</formula>
    </cfRule>
    <cfRule type="expression" dxfId="3" priority="1227">
      <formula>AA13="事"</formula>
    </cfRule>
    <cfRule type="expression" dxfId="4" priority="1226">
      <formula>AA13="年"</formula>
    </cfRule>
    <cfRule type="expression" dxfId="5" priority="1225">
      <formula>AA13="探"</formula>
    </cfRule>
  </conditionalFormatting>
  <conditionalFormatting sqref="AB13">
    <cfRule type="expression" dxfId="2" priority="1232">
      <formula>AB13="病"</formula>
    </cfRule>
    <cfRule type="expression" dxfId="3" priority="1231">
      <formula>AB13="事"</formula>
    </cfRule>
    <cfRule type="expression" dxfId="4" priority="1230">
      <formula>AB13="年"</formula>
    </cfRule>
    <cfRule type="expression" dxfId="5" priority="1229">
      <formula>AB13="探"</formula>
    </cfRule>
  </conditionalFormatting>
  <conditionalFormatting sqref="AC13">
    <cfRule type="expression" dxfId="2" priority="1236">
      <formula>AC13="病"</formula>
    </cfRule>
    <cfRule type="expression" dxfId="3" priority="1235">
      <formula>AC13="事"</formula>
    </cfRule>
    <cfRule type="expression" dxfId="4" priority="1234">
      <formula>AC13="年"</formula>
    </cfRule>
    <cfRule type="expression" dxfId="5" priority="1233">
      <formula>AC13="探"</formula>
    </cfRule>
  </conditionalFormatting>
  <conditionalFormatting sqref="AD13:AE13">
    <cfRule type="expression" dxfId="2" priority="2976">
      <formula>AD13="病"</formula>
    </cfRule>
    <cfRule type="expression" dxfId="3" priority="2975">
      <formula>AD13="事"</formula>
    </cfRule>
    <cfRule type="expression" dxfId="4" priority="2974">
      <formula>AD13="年"</formula>
    </cfRule>
    <cfRule type="expression" dxfId="5" priority="2973">
      <formula>AD13="探"</formula>
    </cfRule>
  </conditionalFormatting>
  <conditionalFormatting sqref="AF13:AG13">
    <cfRule type="expression" dxfId="2" priority="2968">
      <formula>AF13="病"</formula>
    </cfRule>
    <cfRule type="expression" dxfId="3" priority="2967">
      <formula>AF13="事"</formula>
    </cfRule>
    <cfRule type="expression" dxfId="4" priority="2966">
      <formula>AF13="年"</formula>
    </cfRule>
    <cfRule type="expression" dxfId="5" priority="2965">
      <formula>AF13="探"</formula>
    </cfRule>
  </conditionalFormatting>
  <conditionalFormatting sqref="AH13:AK13">
    <cfRule type="expression" dxfId="2" priority="7288">
      <formula>AH13="病"</formula>
    </cfRule>
    <cfRule type="expression" dxfId="3" priority="7287">
      <formula>AH13="事"</formula>
    </cfRule>
    <cfRule type="expression" dxfId="4" priority="7286">
      <formula>AH13="年"</formula>
    </cfRule>
    <cfRule type="expression" dxfId="5" priority="7285">
      <formula>AH13="探"</formula>
    </cfRule>
  </conditionalFormatting>
  <conditionalFormatting sqref="K14">
    <cfRule type="expression" dxfId="2" priority="6152">
      <formula>K14="病"</formula>
    </cfRule>
    <cfRule type="expression" dxfId="3" priority="6151">
      <formula>K14="事"</formula>
    </cfRule>
    <cfRule type="expression" dxfId="4" priority="6150">
      <formula>K14="年"</formula>
    </cfRule>
    <cfRule type="expression" dxfId="5" priority="6149">
      <formula>K14="探"</formula>
    </cfRule>
  </conditionalFormatting>
  <conditionalFormatting sqref="L14">
    <cfRule type="expression" dxfId="2" priority="6156">
      <formula>L14="病"</formula>
    </cfRule>
    <cfRule type="expression" dxfId="3" priority="6155">
      <formula>L14="事"</formula>
    </cfRule>
    <cfRule type="expression" dxfId="4" priority="6154">
      <formula>L14="年"</formula>
    </cfRule>
    <cfRule type="expression" dxfId="5" priority="6153">
      <formula>L14="探"</formula>
    </cfRule>
  </conditionalFormatting>
  <conditionalFormatting sqref="M14:N14">
    <cfRule type="expression" dxfId="2" priority="6148">
      <formula>M14="病"</formula>
    </cfRule>
    <cfRule type="expression" dxfId="3" priority="6147">
      <formula>M14="事"</formula>
    </cfRule>
    <cfRule type="expression" dxfId="4" priority="6146">
      <formula>M14="年"</formula>
    </cfRule>
    <cfRule type="expression" dxfId="5" priority="6145">
      <formula>M14="探"</formula>
    </cfRule>
  </conditionalFormatting>
  <conditionalFormatting sqref="O14">
    <cfRule type="expression" dxfId="2" priority="5300">
      <formula>O14="病"</formula>
    </cfRule>
    <cfRule type="expression" dxfId="3" priority="5299">
      <formula>O14="事"</formula>
    </cfRule>
    <cfRule type="expression" dxfId="4" priority="5298">
      <formula>O14="年"</formula>
    </cfRule>
    <cfRule type="expression" dxfId="5" priority="5297">
      <formula>O14="探"</formula>
    </cfRule>
  </conditionalFormatting>
  <conditionalFormatting sqref="P14">
    <cfRule type="expression" dxfId="2" priority="5304">
      <formula>P14="病"</formula>
    </cfRule>
    <cfRule type="expression" dxfId="3" priority="5303">
      <formula>P14="事"</formula>
    </cfRule>
    <cfRule type="expression" dxfId="4" priority="5302">
      <formula>P14="年"</formula>
    </cfRule>
    <cfRule type="expression" dxfId="5" priority="5301">
      <formula>P14="探"</formula>
    </cfRule>
  </conditionalFormatting>
  <conditionalFormatting sqref="Q14:R14">
    <cfRule type="expression" dxfId="2" priority="5296">
      <formula>Q14="病"</formula>
    </cfRule>
    <cfRule type="expression" dxfId="3" priority="5295">
      <formula>Q14="事"</formula>
    </cfRule>
    <cfRule type="expression" dxfId="4" priority="5294">
      <formula>Q14="年"</formula>
    </cfRule>
    <cfRule type="expression" dxfId="5" priority="5293">
      <formula>Q14="探"</formula>
    </cfRule>
  </conditionalFormatting>
  <conditionalFormatting sqref="T14">
    <cfRule type="expression" dxfId="2" priority="4644">
      <formula>T14="病"</formula>
    </cfRule>
    <cfRule type="expression" dxfId="3" priority="4643">
      <formula>T14="事"</formula>
    </cfRule>
    <cfRule type="expression" dxfId="4" priority="4642">
      <formula>T14="年"</formula>
    </cfRule>
    <cfRule type="expression" dxfId="5" priority="4641">
      <formula>T14="探"</formula>
    </cfRule>
  </conditionalFormatting>
  <conditionalFormatting sqref="U14">
    <cfRule type="expression" dxfId="2" priority="4648">
      <formula>U14="病"</formula>
    </cfRule>
    <cfRule type="expression" dxfId="3" priority="4647">
      <formula>U14="事"</formula>
    </cfRule>
    <cfRule type="expression" dxfId="4" priority="4646">
      <formula>U14="年"</formula>
    </cfRule>
    <cfRule type="expression" dxfId="5" priority="4645">
      <formula>U14="探"</formula>
    </cfRule>
  </conditionalFormatting>
  <conditionalFormatting sqref="V14">
    <cfRule type="expression" dxfId="2" priority="4632">
      <formula>V14="病"</formula>
    </cfRule>
    <cfRule type="expression" dxfId="3" priority="4631">
      <formula>V14="事"</formula>
    </cfRule>
    <cfRule type="expression" dxfId="4" priority="4630">
      <formula>V14="年"</formula>
    </cfRule>
    <cfRule type="expression" dxfId="5" priority="4629">
      <formula>V14="探"</formula>
    </cfRule>
  </conditionalFormatting>
  <conditionalFormatting sqref="W14">
    <cfRule type="expression" dxfId="2" priority="4636">
      <formula>W14="病"</formula>
    </cfRule>
    <cfRule type="expression" dxfId="3" priority="4635">
      <formula>W14="事"</formula>
    </cfRule>
    <cfRule type="expression" dxfId="4" priority="4634">
      <formula>W14="年"</formula>
    </cfRule>
    <cfRule type="expression" dxfId="5" priority="4633">
      <formula>W14="探"</formula>
    </cfRule>
  </conditionalFormatting>
  <conditionalFormatting sqref="X14">
    <cfRule type="expression" dxfId="2" priority="4640">
      <formula>X14="病"</formula>
    </cfRule>
    <cfRule type="expression" dxfId="3" priority="4639">
      <formula>X14="事"</formula>
    </cfRule>
    <cfRule type="expression" dxfId="4" priority="4638">
      <formula>X14="年"</formula>
    </cfRule>
    <cfRule type="expression" dxfId="5" priority="4637">
      <formula>X14="探"</formula>
    </cfRule>
  </conditionalFormatting>
  <conditionalFormatting sqref="Y14">
    <cfRule type="expression" dxfId="2" priority="3012">
      <formula>Y14="病"</formula>
    </cfRule>
    <cfRule type="expression" dxfId="3" priority="3011">
      <formula>Y14="事"</formula>
    </cfRule>
    <cfRule type="expression" dxfId="4" priority="3010">
      <formula>Y14="年"</formula>
    </cfRule>
    <cfRule type="expression" dxfId="5" priority="3009">
      <formula>Y14="探"</formula>
    </cfRule>
  </conditionalFormatting>
  <conditionalFormatting sqref="Z14">
    <cfRule type="expression" dxfId="2" priority="3000">
      <formula>Z14="病"</formula>
    </cfRule>
    <cfRule type="expression" dxfId="3" priority="2999">
      <formula>Z14="事"</formula>
    </cfRule>
    <cfRule type="expression" dxfId="4" priority="2998">
      <formula>Z14="年"</formula>
    </cfRule>
    <cfRule type="expression" dxfId="5" priority="2997">
      <formula>Z14="探"</formula>
    </cfRule>
  </conditionalFormatting>
  <conditionalFormatting sqref="AA14">
    <cfRule type="expression" dxfId="2" priority="2068">
      <formula>AA14="病"</formula>
    </cfRule>
    <cfRule type="expression" dxfId="3" priority="2067">
      <formula>AA14="事"</formula>
    </cfRule>
    <cfRule type="expression" dxfId="4" priority="2066">
      <formula>AA14="年"</formula>
    </cfRule>
    <cfRule type="expression" dxfId="5" priority="2065">
      <formula>AA14="探"</formula>
    </cfRule>
  </conditionalFormatting>
  <conditionalFormatting sqref="AB14">
    <cfRule type="expression" dxfId="2" priority="2064">
      <formula>AB14="病"</formula>
    </cfRule>
    <cfRule type="expression" dxfId="3" priority="2063">
      <formula>AB14="事"</formula>
    </cfRule>
    <cfRule type="expression" dxfId="4" priority="2062">
      <formula>AB14="年"</formula>
    </cfRule>
    <cfRule type="expression" dxfId="5" priority="2061">
      <formula>AB14="探"</formula>
    </cfRule>
  </conditionalFormatting>
  <conditionalFormatting sqref="AC14">
    <cfRule type="expression" dxfId="2" priority="2060">
      <formula>AC14="病"</formula>
    </cfRule>
    <cfRule type="expression" dxfId="3" priority="2059">
      <formula>AC14="事"</formula>
    </cfRule>
    <cfRule type="expression" dxfId="4" priority="2058">
      <formula>AC14="年"</formula>
    </cfRule>
    <cfRule type="expression" dxfId="5" priority="2057">
      <formula>AC14="探"</formula>
    </cfRule>
  </conditionalFormatting>
  <conditionalFormatting sqref="AD14">
    <cfRule type="expression" dxfId="2" priority="2956">
      <formula>AD14="病"</formula>
    </cfRule>
    <cfRule type="expression" dxfId="3" priority="2955">
      <formula>AD14="事"</formula>
    </cfRule>
    <cfRule type="expression" dxfId="4" priority="2954">
      <formula>AD14="年"</formula>
    </cfRule>
    <cfRule type="expression" dxfId="5" priority="2953">
      <formula>AD14="探"</formula>
    </cfRule>
  </conditionalFormatting>
  <conditionalFormatting sqref="AE14:AF14">
    <cfRule type="expression" dxfId="2" priority="1380">
      <formula>AE14="病"</formula>
    </cfRule>
    <cfRule type="expression" dxfId="3" priority="1379">
      <formula>AE14="事"</formula>
    </cfRule>
    <cfRule type="expression" dxfId="4" priority="1378">
      <formula>AE14="年"</formula>
    </cfRule>
    <cfRule type="expression" dxfId="5" priority="1377">
      <formula>AE14="探"</formula>
    </cfRule>
  </conditionalFormatting>
  <conditionalFormatting sqref="AG14">
    <cfRule type="expression" dxfId="2" priority="1384">
      <formula>AG14="病"</formula>
    </cfRule>
    <cfRule type="expression" dxfId="3" priority="1383">
      <formula>AG14="事"</formula>
    </cfRule>
    <cfRule type="expression" dxfId="4" priority="1382">
      <formula>AG14="年"</formula>
    </cfRule>
    <cfRule type="expression" dxfId="5" priority="1381">
      <formula>AG14="探"</formula>
    </cfRule>
  </conditionalFormatting>
  <conditionalFormatting sqref="AH14:AI14">
    <cfRule type="expression" dxfId="2" priority="1368">
      <formula>AH14="病"</formula>
    </cfRule>
    <cfRule type="expression" dxfId="3" priority="1367">
      <formula>AH14="事"</formula>
    </cfRule>
    <cfRule type="expression" dxfId="4" priority="1366">
      <formula>AH14="年"</formula>
    </cfRule>
    <cfRule type="expression" dxfId="5" priority="1365">
      <formula>AH14="探"</formula>
    </cfRule>
  </conditionalFormatting>
  <conditionalFormatting sqref="AJ14">
    <cfRule type="expression" dxfId="2" priority="1372">
      <formula>AJ14="病"</formula>
    </cfRule>
    <cfRule type="expression" dxfId="3" priority="1371">
      <formula>AJ14="事"</formula>
    </cfRule>
    <cfRule type="expression" dxfId="4" priority="1370">
      <formula>AJ14="年"</formula>
    </cfRule>
    <cfRule type="expression" dxfId="5" priority="1369">
      <formula>AJ14="探"</formula>
    </cfRule>
  </conditionalFormatting>
  <conditionalFormatting sqref="AK14">
    <cfRule type="expression" dxfId="2" priority="7276">
      <formula>AK14="病"</formula>
    </cfRule>
    <cfRule type="expression" dxfId="3" priority="7275">
      <formula>AK14="事"</formula>
    </cfRule>
    <cfRule type="expression" dxfId="4" priority="7274">
      <formula>AK14="年"</formula>
    </cfRule>
    <cfRule type="expression" dxfId="5" priority="7273">
      <formula>AK14="探"</formula>
    </cfRule>
  </conditionalFormatting>
  <conditionalFormatting sqref="K15">
    <cfRule type="expression" dxfId="2" priority="6144">
      <formula>K15="病"</formula>
    </cfRule>
    <cfRule type="expression" dxfId="3" priority="6143">
      <formula>K15="事"</formula>
    </cfRule>
    <cfRule type="expression" dxfId="4" priority="6142">
      <formula>K15="年"</formula>
    </cfRule>
    <cfRule type="expression" dxfId="5" priority="6141">
      <formula>K15="探"</formula>
    </cfRule>
  </conditionalFormatting>
  <conditionalFormatting sqref="L15:M15">
    <cfRule type="expression" dxfId="2" priority="6136">
      <formula>L15="病"</formula>
    </cfRule>
    <cfRule type="expression" dxfId="3" priority="6135">
      <formula>L15="事"</formula>
    </cfRule>
    <cfRule type="expression" dxfId="4" priority="6134">
      <formula>L15="年"</formula>
    </cfRule>
    <cfRule type="expression" dxfId="5" priority="6133">
      <formula>L15="探"</formula>
    </cfRule>
  </conditionalFormatting>
  <conditionalFormatting sqref="N15">
    <cfRule type="expression" dxfId="2" priority="6140">
      <formula>N15="病"</formula>
    </cfRule>
    <cfRule type="expression" dxfId="3" priority="6139">
      <formula>N15="事"</formula>
    </cfRule>
    <cfRule type="expression" dxfId="4" priority="6138">
      <formula>N15="年"</formula>
    </cfRule>
    <cfRule type="expression" dxfId="5" priority="6137">
      <formula>N15="探"</formula>
    </cfRule>
  </conditionalFormatting>
  <conditionalFormatting sqref="O15">
    <cfRule type="expression" dxfId="2" priority="5292">
      <formula>O15="病"</formula>
    </cfRule>
    <cfRule type="expression" dxfId="3" priority="5291">
      <formula>O15="事"</formula>
    </cfRule>
    <cfRule type="expression" dxfId="4" priority="5290">
      <formula>O15="年"</formula>
    </cfRule>
    <cfRule type="expression" dxfId="5" priority="5289">
      <formula>O15="探"</formula>
    </cfRule>
  </conditionalFormatting>
  <conditionalFormatting sqref="P15:Q15">
    <cfRule type="expression" dxfId="2" priority="5280">
      <formula>P15="病"</formula>
    </cfRule>
    <cfRule type="expression" dxfId="3" priority="5279">
      <formula>P15="事"</formula>
    </cfRule>
    <cfRule type="expression" dxfId="4" priority="5278">
      <formula>P15="年"</formula>
    </cfRule>
    <cfRule type="expression" dxfId="5" priority="5277">
      <formula>P15="探"</formula>
    </cfRule>
  </conditionalFormatting>
  <conditionalFormatting sqref="R15">
    <cfRule type="expression" dxfId="2" priority="5284">
      <formula>R15="病"</formula>
    </cfRule>
    <cfRule type="expression" dxfId="3" priority="5283">
      <formula>R15="事"</formula>
    </cfRule>
    <cfRule type="expression" dxfId="4" priority="5282">
      <formula>R15="年"</formula>
    </cfRule>
    <cfRule type="expression" dxfId="5" priority="5281">
      <formula>R15="探"</formula>
    </cfRule>
  </conditionalFormatting>
  <conditionalFormatting sqref="S15">
    <cfRule type="expression" dxfId="2" priority="5288">
      <formula>S15="病"</formula>
    </cfRule>
    <cfRule type="expression" dxfId="3" priority="5287">
      <formula>S15="事"</formula>
    </cfRule>
    <cfRule type="expression" dxfId="4" priority="5286">
      <formula>S15="年"</formula>
    </cfRule>
    <cfRule type="expression" dxfId="5" priority="5285">
      <formula>S15="探"</formula>
    </cfRule>
  </conditionalFormatting>
  <conditionalFormatting sqref="T15:U15">
    <cfRule type="expression" dxfId="2" priority="4620">
      <formula>T15="病"</formula>
    </cfRule>
    <cfRule type="expression" dxfId="3" priority="4619">
      <formula>T15="事"</formula>
    </cfRule>
    <cfRule type="expression" dxfId="4" priority="4618">
      <formula>T15="年"</formula>
    </cfRule>
    <cfRule type="expression" dxfId="5" priority="4617">
      <formula>T15="探"</formula>
    </cfRule>
  </conditionalFormatting>
  <conditionalFormatting sqref="V15">
    <cfRule type="expression" dxfId="2" priority="4624">
      <formula>V15="病"</formula>
    </cfRule>
    <cfRule type="expression" dxfId="3" priority="4623">
      <formula>V15="事"</formula>
    </cfRule>
    <cfRule type="expression" dxfId="4" priority="4622">
      <formula>V15="年"</formula>
    </cfRule>
    <cfRule type="expression" dxfId="5" priority="4621">
      <formula>V15="探"</formula>
    </cfRule>
  </conditionalFormatting>
  <conditionalFormatting sqref="W15">
    <cfRule type="expression" dxfId="2" priority="4628">
      <formula>W15="病"</formula>
    </cfRule>
    <cfRule type="expression" dxfId="3" priority="4627">
      <formula>W15="事"</formula>
    </cfRule>
    <cfRule type="expression" dxfId="4" priority="4626">
      <formula>W15="年"</formula>
    </cfRule>
    <cfRule type="expression" dxfId="5" priority="4625">
      <formula>W15="探"</formula>
    </cfRule>
  </conditionalFormatting>
  <conditionalFormatting sqref="X15">
    <cfRule type="expression" dxfId="2" priority="8468">
      <formula>X15="病"</formula>
    </cfRule>
    <cfRule type="expression" dxfId="3" priority="8467">
      <formula>X15="事"</formula>
    </cfRule>
    <cfRule type="expression" dxfId="4" priority="8466">
      <formula>X15="年"</formula>
    </cfRule>
    <cfRule type="expression" dxfId="5" priority="8465">
      <formula>X15="探"</formula>
    </cfRule>
  </conditionalFormatting>
  <conditionalFormatting sqref="Y15">
    <cfRule type="expression" dxfId="2" priority="2988">
      <formula>Y15="病"</formula>
    </cfRule>
    <cfRule type="expression" dxfId="3" priority="2987">
      <formula>Y15="事"</formula>
    </cfRule>
    <cfRule type="expression" dxfId="4" priority="2986">
      <formula>Y15="年"</formula>
    </cfRule>
    <cfRule type="expression" dxfId="5" priority="2985">
      <formula>Y15="探"</formula>
    </cfRule>
  </conditionalFormatting>
  <conditionalFormatting sqref="Z15">
    <cfRule type="expression" dxfId="2" priority="2992">
      <formula>Z15="病"</formula>
    </cfRule>
    <cfRule type="expression" dxfId="3" priority="2991">
      <formula>Z15="事"</formula>
    </cfRule>
    <cfRule type="expression" dxfId="4" priority="2990">
      <formula>Z15="年"</formula>
    </cfRule>
    <cfRule type="expression" dxfId="5" priority="2989">
      <formula>Z15="探"</formula>
    </cfRule>
  </conditionalFormatting>
  <conditionalFormatting sqref="AA15">
    <cfRule type="expression" dxfId="2" priority="2072">
      <formula>AA15="病"</formula>
    </cfRule>
    <cfRule type="expression" dxfId="3" priority="2071">
      <formula>AA15="事"</formula>
    </cfRule>
    <cfRule type="expression" dxfId="4" priority="2070">
      <formula>AA15="年"</formula>
    </cfRule>
    <cfRule type="expression" dxfId="5" priority="2069">
      <formula>AA15="探"</formula>
    </cfRule>
  </conditionalFormatting>
  <conditionalFormatting sqref="AB15">
    <cfRule type="expression" dxfId="2" priority="2076">
      <formula>AB15="病"</formula>
    </cfRule>
    <cfRule type="expression" dxfId="3" priority="2075">
      <formula>AB15="事"</formula>
    </cfRule>
    <cfRule type="expression" dxfId="4" priority="2074">
      <formula>AB15="年"</formula>
    </cfRule>
    <cfRule type="expression" dxfId="5" priority="2073">
      <formula>AB15="探"</formula>
    </cfRule>
  </conditionalFormatting>
  <conditionalFormatting sqref="AC15">
    <cfRule type="expression" dxfId="2" priority="2948">
      <formula>AC15="病"</formula>
    </cfRule>
    <cfRule type="expression" dxfId="3" priority="2947">
      <formula>AC15="事"</formula>
    </cfRule>
    <cfRule type="expression" dxfId="4" priority="2946">
      <formula>AC15="年"</formula>
    </cfRule>
    <cfRule type="expression" dxfId="5" priority="2945">
      <formula>AC15="探"</formula>
    </cfRule>
  </conditionalFormatting>
  <conditionalFormatting sqref="AD15">
    <cfRule type="expression" dxfId="2" priority="2952">
      <formula>AD15="病"</formula>
    </cfRule>
    <cfRule type="expression" dxfId="3" priority="2951">
      <formula>AD15="事"</formula>
    </cfRule>
    <cfRule type="expression" dxfId="4" priority="2950">
      <formula>AD15="年"</formula>
    </cfRule>
    <cfRule type="expression" dxfId="5" priority="2949">
      <formula>AD15="探"</formula>
    </cfRule>
  </conditionalFormatting>
  <conditionalFormatting sqref="AE15:AF15">
    <cfRule type="expression" dxfId="2" priority="7272">
      <formula>AE15="病"</formula>
    </cfRule>
    <cfRule type="expression" dxfId="3" priority="7271">
      <formula>AE15="事"</formula>
    </cfRule>
    <cfRule type="expression" dxfId="4" priority="7270">
      <formula>AE15="年"</formula>
    </cfRule>
    <cfRule type="expression" dxfId="5" priority="7269">
      <formula>AE15="探"</formula>
    </cfRule>
  </conditionalFormatting>
  <conditionalFormatting sqref="AG15:AK15">
    <cfRule type="expression" dxfId="2" priority="7268">
      <formula>AG15="病"</formula>
    </cfRule>
    <cfRule type="expression" dxfId="3" priority="7267">
      <formula>AG15="事"</formula>
    </cfRule>
    <cfRule type="expression" dxfId="4" priority="7266">
      <formula>AG15="年"</formula>
    </cfRule>
    <cfRule type="expression" dxfId="5" priority="7265">
      <formula>AG15="探"</formula>
    </cfRule>
  </conditionalFormatting>
  <conditionalFormatting sqref="K16">
    <cfRule type="expression" dxfId="2" priority="6132">
      <formula>K16="病"</formula>
    </cfRule>
    <cfRule type="expression" dxfId="3" priority="6131">
      <formula>K16="事"</formula>
    </cfRule>
    <cfRule type="expression" dxfId="4" priority="6130">
      <formula>K16="年"</formula>
    </cfRule>
    <cfRule type="expression" dxfId="5" priority="6129">
      <formula>K16="探"</formula>
    </cfRule>
  </conditionalFormatting>
  <conditionalFormatting sqref="L16">
    <cfRule type="expression" dxfId="2" priority="6124">
      <formula>L16="病"</formula>
    </cfRule>
    <cfRule type="expression" dxfId="3" priority="6123">
      <formula>L16="事"</formula>
    </cfRule>
    <cfRule type="expression" dxfId="4" priority="6122">
      <formula>L16="年"</formula>
    </cfRule>
    <cfRule type="expression" dxfId="5" priority="6121">
      <formula>L16="探"</formula>
    </cfRule>
  </conditionalFormatting>
  <conditionalFormatting sqref="M16">
    <cfRule type="expression" dxfId="2" priority="6128">
      <formula>M16="病"</formula>
    </cfRule>
    <cfRule type="expression" dxfId="3" priority="6127">
      <formula>M16="事"</formula>
    </cfRule>
    <cfRule type="expression" dxfId="4" priority="6126">
      <formula>M16="年"</formula>
    </cfRule>
    <cfRule type="expression" dxfId="5" priority="6125">
      <formula>M16="探"</formula>
    </cfRule>
  </conditionalFormatting>
  <conditionalFormatting sqref="N16">
    <cfRule type="expression" dxfId="2" priority="6120">
      <formula>N16="病"</formula>
    </cfRule>
    <cfRule type="expression" dxfId="3" priority="6119">
      <formula>N16="事"</formula>
    </cfRule>
    <cfRule type="expression" dxfId="4" priority="6118">
      <formula>N16="年"</formula>
    </cfRule>
    <cfRule type="expression" dxfId="5" priority="6117">
      <formula>N16="探"</formula>
    </cfRule>
  </conditionalFormatting>
  <conditionalFormatting sqref="O16">
    <cfRule type="expression" dxfId="2" priority="5276">
      <formula>O16="病"</formula>
    </cfRule>
    <cfRule type="expression" dxfId="3" priority="5275">
      <formula>O16="事"</formula>
    </cfRule>
    <cfRule type="expression" dxfId="4" priority="5274">
      <formula>O16="年"</formula>
    </cfRule>
    <cfRule type="expression" dxfId="5" priority="5273">
      <formula>O16="探"</formula>
    </cfRule>
  </conditionalFormatting>
  <conditionalFormatting sqref="P16">
    <cfRule type="expression" dxfId="2" priority="5268">
      <formula>P16="病"</formula>
    </cfRule>
    <cfRule type="expression" dxfId="3" priority="5267">
      <formula>P16="事"</formula>
    </cfRule>
    <cfRule type="expression" dxfId="4" priority="5266">
      <formula>P16="年"</formula>
    </cfRule>
    <cfRule type="expression" dxfId="5" priority="5265">
      <formula>P16="探"</formula>
    </cfRule>
  </conditionalFormatting>
  <conditionalFormatting sqref="Q16">
    <cfRule type="expression" dxfId="2" priority="5272">
      <formula>Q16="病"</formula>
    </cfRule>
    <cfRule type="expression" dxfId="3" priority="5271">
      <formula>Q16="事"</formula>
    </cfRule>
    <cfRule type="expression" dxfId="4" priority="5270">
      <formula>Q16="年"</formula>
    </cfRule>
    <cfRule type="expression" dxfId="5" priority="5269">
      <formula>Q16="探"</formula>
    </cfRule>
  </conditionalFormatting>
  <conditionalFormatting sqref="R16:S16">
    <cfRule type="expression" dxfId="2" priority="5264">
      <formula>R16="病"</formula>
    </cfRule>
    <cfRule type="expression" dxfId="3" priority="5263">
      <formula>R16="事"</formula>
    </cfRule>
    <cfRule type="expression" dxfId="4" priority="5262">
      <formula>R16="年"</formula>
    </cfRule>
    <cfRule type="expression" dxfId="5" priority="5261">
      <formula>R16="探"</formula>
    </cfRule>
  </conditionalFormatting>
  <conditionalFormatting sqref="T16">
    <cfRule type="expression" dxfId="2" priority="4612">
      <formula>T16="病"</formula>
    </cfRule>
    <cfRule type="expression" dxfId="3" priority="4611">
      <formula>T16="事"</formula>
    </cfRule>
    <cfRule type="expression" dxfId="4" priority="4610">
      <formula>T16="年"</formula>
    </cfRule>
    <cfRule type="expression" dxfId="5" priority="4609">
      <formula>T16="探"</formula>
    </cfRule>
  </conditionalFormatting>
  <conditionalFormatting sqref="U16">
    <cfRule type="expression" dxfId="2" priority="4616">
      <formula>U16="病"</formula>
    </cfRule>
    <cfRule type="expression" dxfId="3" priority="4615">
      <formula>U16="事"</formula>
    </cfRule>
    <cfRule type="expression" dxfId="4" priority="4614">
      <formula>U16="年"</formula>
    </cfRule>
    <cfRule type="expression" dxfId="5" priority="4613">
      <formula>U16="探"</formula>
    </cfRule>
  </conditionalFormatting>
  <conditionalFormatting sqref="V16">
    <cfRule type="expression" dxfId="2" priority="4608">
      <formula>V16="病"</formula>
    </cfRule>
    <cfRule type="expression" dxfId="3" priority="4607">
      <formula>V16="事"</formula>
    </cfRule>
    <cfRule type="expression" dxfId="4" priority="4606">
      <formula>V16="年"</formula>
    </cfRule>
    <cfRule type="expression" dxfId="5" priority="4605">
      <formula>V16="探"</formula>
    </cfRule>
  </conditionalFormatting>
  <conditionalFormatting sqref="W16">
    <cfRule type="expression" dxfId="2" priority="4604">
      <formula>W16="病"</formula>
    </cfRule>
    <cfRule type="expression" dxfId="3" priority="4603">
      <formula>W16="事"</formula>
    </cfRule>
    <cfRule type="expression" dxfId="4" priority="4602">
      <formula>W16="年"</formula>
    </cfRule>
    <cfRule type="expression" dxfId="5" priority="4601">
      <formula>W16="探"</formula>
    </cfRule>
  </conditionalFormatting>
  <conditionalFormatting sqref="X16">
    <cfRule type="expression" dxfId="2" priority="4600">
      <formula>X16="病"</formula>
    </cfRule>
    <cfRule type="expression" dxfId="3" priority="4599">
      <formula>X16="事"</formula>
    </cfRule>
    <cfRule type="expression" dxfId="4" priority="4598">
      <formula>X16="年"</formula>
    </cfRule>
    <cfRule type="expression" dxfId="5" priority="4597">
      <formula>X16="探"</formula>
    </cfRule>
  </conditionalFormatting>
  <conditionalFormatting sqref="Y16:Z16">
    <cfRule type="expression" dxfId="2" priority="2944">
      <formula>Y16="病"</formula>
    </cfRule>
    <cfRule type="expression" dxfId="3" priority="2943">
      <formula>Y16="事"</formula>
    </cfRule>
    <cfRule type="expression" dxfId="4" priority="2942">
      <formula>Y16="年"</formula>
    </cfRule>
    <cfRule type="expression" dxfId="5" priority="2941">
      <formula>Y16="探"</formula>
    </cfRule>
  </conditionalFormatting>
  <conditionalFormatting sqref="AA16">
    <cfRule type="expression" dxfId="2" priority="2940">
      <formula>AA16="病"</formula>
    </cfRule>
    <cfRule type="expression" dxfId="3" priority="2939">
      <formula>AA16="事"</formula>
    </cfRule>
    <cfRule type="expression" dxfId="4" priority="2938">
      <formula>AA16="年"</formula>
    </cfRule>
    <cfRule type="expression" dxfId="5" priority="2937">
      <formula>AA16="探"</formula>
    </cfRule>
  </conditionalFormatting>
  <conditionalFormatting sqref="AB16">
    <cfRule type="expression" dxfId="2" priority="2932">
      <formula>AB16="病"</formula>
    </cfRule>
    <cfRule type="expression" dxfId="3" priority="2931">
      <formula>AB16="事"</formula>
    </cfRule>
    <cfRule type="expression" dxfId="4" priority="2930">
      <formula>AB16="年"</formula>
    </cfRule>
    <cfRule type="expression" dxfId="5" priority="2929">
      <formula>AB16="探"</formula>
    </cfRule>
  </conditionalFormatting>
  <conditionalFormatting sqref="AC16:AG16">
    <cfRule type="expression" dxfId="2" priority="2936">
      <formula>AC16="病"</formula>
    </cfRule>
    <cfRule type="expression" dxfId="3" priority="2935">
      <formula>AC16="事"</formula>
    </cfRule>
    <cfRule type="expression" dxfId="4" priority="2934">
      <formula>AC16="年"</formula>
    </cfRule>
    <cfRule type="expression" dxfId="5" priority="2933">
      <formula>AC16="探"</formula>
    </cfRule>
  </conditionalFormatting>
  <conditionalFormatting sqref="G17:H17">
    <cfRule type="expression" dxfId="2" priority="6336">
      <formula>G17="病"</formula>
    </cfRule>
    <cfRule type="expression" dxfId="3" priority="6335">
      <formula>G17="事"</formula>
    </cfRule>
    <cfRule type="expression" dxfId="4" priority="6334">
      <formula>G17="年"</formula>
    </cfRule>
    <cfRule type="expression" dxfId="5" priority="6333">
      <formula>G17="探"</formula>
    </cfRule>
  </conditionalFormatting>
  <conditionalFormatting sqref="I17">
    <cfRule type="expression" dxfId="2" priority="6340">
      <formula>I17="病"</formula>
    </cfRule>
    <cfRule type="expression" dxfId="3" priority="6339">
      <formula>I17="事"</formula>
    </cfRule>
    <cfRule type="expression" dxfId="4" priority="6338">
      <formula>I17="年"</formula>
    </cfRule>
    <cfRule type="expression" dxfId="5" priority="6337">
      <formula>I17="探"</formula>
    </cfRule>
  </conditionalFormatting>
  <conditionalFormatting sqref="T17:U17">
    <cfRule type="expression" dxfId="2" priority="4592">
      <formula>T17="病"</formula>
    </cfRule>
    <cfRule type="expression" dxfId="3" priority="4591">
      <formula>T17="事"</formula>
    </cfRule>
    <cfRule type="expression" dxfId="4" priority="4590">
      <formula>T17="年"</formula>
    </cfRule>
    <cfRule type="expression" dxfId="5" priority="4589">
      <formula>T17="探"</formula>
    </cfRule>
  </conditionalFormatting>
  <conditionalFormatting sqref="V17">
    <cfRule type="expression" dxfId="2" priority="4596">
      <formula>V17="病"</formula>
    </cfRule>
    <cfRule type="expression" dxfId="3" priority="4595">
      <formula>V17="事"</formula>
    </cfRule>
    <cfRule type="expression" dxfId="4" priority="4594">
      <formula>V17="年"</formula>
    </cfRule>
    <cfRule type="expression" dxfId="5" priority="4593">
      <formula>V17="探"</formula>
    </cfRule>
  </conditionalFormatting>
  <conditionalFormatting sqref="W17">
    <cfRule type="expression" dxfId="2" priority="4588">
      <formula>W17="病"</formula>
    </cfRule>
    <cfRule type="expression" dxfId="3" priority="4587">
      <formula>W17="事"</formula>
    </cfRule>
    <cfRule type="expression" dxfId="4" priority="4586">
      <formula>W17="年"</formula>
    </cfRule>
    <cfRule type="expression" dxfId="5" priority="4585">
      <formula>W17="探"</formula>
    </cfRule>
  </conditionalFormatting>
  <conditionalFormatting sqref="X17">
    <cfRule type="expression" dxfId="2" priority="4584">
      <formula>X17="病"</formula>
    </cfRule>
    <cfRule type="expression" dxfId="3" priority="4583">
      <formula>X17="事"</formula>
    </cfRule>
    <cfRule type="expression" dxfId="4" priority="4582">
      <formula>X17="年"</formula>
    </cfRule>
    <cfRule type="expression" dxfId="5" priority="4581">
      <formula>X17="探"</formula>
    </cfRule>
  </conditionalFormatting>
  <conditionalFormatting sqref="AE17">
    <cfRule type="expression" dxfId="2" priority="1364">
      <formula>AE17="病"</formula>
    </cfRule>
    <cfRule type="expression" dxfId="3" priority="1363">
      <formula>AE17="事"</formula>
    </cfRule>
    <cfRule type="expression" dxfId="4" priority="1362">
      <formula>AE17="年"</formula>
    </cfRule>
    <cfRule type="expression" dxfId="5" priority="1361">
      <formula>AE17="探"</formula>
    </cfRule>
  </conditionalFormatting>
  <conditionalFormatting sqref="AF17">
    <cfRule type="expression" dxfId="2" priority="1360">
      <formula>AF17="病"</formula>
    </cfRule>
    <cfRule type="expression" dxfId="3" priority="1359">
      <formula>AF17="事"</formula>
    </cfRule>
    <cfRule type="expression" dxfId="4" priority="1358">
      <formula>AF17="年"</formula>
    </cfRule>
    <cfRule type="expression" dxfId="5" priority="1357">
      <formula>AF17="探"</formula>
    </cfRule>
  </conditionalFormatting>
  <conditionalFormatting sqref="AG17">
    <cfRule type="expression" dxfId="2" priority="1348">
      <formula>AG17="病"</formula>
    </cfRule>
    <cfRule type="expression" dxfId="3" priority="1347">
      <formula>AG17="事"</formula>
    </cfRule>
    <cfRule type="expression" dxfId="4" priority="1346">
      <formula>AG17="年"</formula>
    </cfRule>
    <cfRule type="expression" dxfId="5" priority="1345">
      <formula>AG17="探"</formula>
    </cfRule>
  </conditionalFormatting>
  <conditionalFormatting sqref="AH17">
    <cfRule type="expression" dxfId="2" priority="1352">
      <formula>AH17="病"</formula>
    </cfRule>
    <cfRule type="expression" dxfId="3" priority="1351">
      <formula>AH17="事"</formula>
    </cfRule>
    <cfRule type="expression" dxfId="4" priority="1350">
      <formula>AH17="年"</formula>
    </cfRule>
    <cfRule type="expression" dxfId="5" priority="1349">
      <formula>AH17="探"</formula>
    </cfRule>
  </conditionalFormatting>
  <conditionalFormatting sqref="AI17">
    <cfRule type="expression" dxfId="2" priority="1356">
      <formula>AI17="病"</formula>
    </cfRule>
    <cfRule type="expression" dxfId="3" priority="1355">
      <formula>AI17="事"</formula>
    </cfRule>
    <cfRule type="expression" dxfId="4" priority="1354">
      <formula>AI17="年"</formula>
    </cfRule>
    <cfRule type="expression" dxfId="5" priority="1353">
      <formula>AI17="探"</formula>
    </cfRule>
  </conditionalFormatting>
  <conditionalFormatting sqref="AJ17:AK17">
    <cfRule type="expression" dxfId="2" priority="1340">
      <formula>AJ17="病"</formula>
    </cfRule>
    <cfRule type="expression" dxfId="3" priority="1339">
      <formula>AJ17="事"</formula>
    </cfRule>
    <cfRule type="expression" dxfId="4" priority="1338">
      <formula>AJ17="年"</formula>
    </cfRule>
    <cfRule type="expression" dxfId="5" priority="1337">
      <formula>AJ17="探"</formula>
    </cfRule>
  </conditionalFormatting>
  <conditionalFormatting sqref="T18:U18">
    <cfRule type="expression" dxfId="2" priority="4572">
      <formula>T18="病"</formula>
    </cfRule>
    <cfRule type="expression" dxfId="3" priority="4571">
      <formula>T18="事"</formula>
    </cfRule>
    <cfRule type="expression" dxfId="4" priority="4570">
      <formula>T18="年"</formula>
    </cfRule>
    <cfRule type="expression" dxfId="5" priority="4569">
      <formula>T18="探"</formula>
    </cfRule>
  </conditionalFormatting>
  <conditionalFormatting sqref="V18">
    <cfRule type="expression" dxfId="2" priority="4576">
      <formula>V18="病"</formula>
    </cfRule>
    <cfRule type="expression" dxfId="3" priority="4575">
      <formula>V18="事"</formula>
    </cfRule>
    <cfRule type="expression" dxfId="4" priority="4574">
      <formula>V18="年"</formula>
    </cfRule>
    <cfRule type="expression" dxfId="5" priority="4573">
      <formula>V18="探"</formula>
    </cfRule>
  </conditionalFormatting>
  <conditionalFormatting sqref="W18">
    <cfRule type="expression" dxfId="2" priority="4580">
      <formula>W18="病"</formula>
    </cfRule>
    <cfRule type="expression" dxfId="3" priority="4579">
      <formula>W18="事"</formula>
    </cfRule>
    <cfRule type="expression" dxfId="4" priority="4578">
      <formula>W18="年"</formula>
    </cfRule>
    <cfRule type="expression" dxfId="5" priority="4577">
      <formula>W18="探"</formula>
    </cfRule>
  </conditionalFormatting>
  <conditionalFormatting sqref="X18">
    <cfRule type="expression" dxfId="2" priority="4568">
      <formula>X18="病"</formula>
    </cfRule>
    <cfRule type="expression" dxfId="3" priority="4567">
      <formula>X18="事"</formula>
    </cfRule>
    <cfRule type="expression" dxfId="4" priority="4566">
      <formula>X18="年"</formula>
    </cfRule>
    <cfRule type="expression" dxfId="5" priority="4565">
      <formula>X18="探"</formula>
    </cfRule>
  </conditionalFormatting>
  <conditionalFormatting sqref="AE18">
    <cfRule type="expression" dxfId="2" priority="1336">
      <formula>AE18="病"</formula>
    </cfRule>
    <cfRule type="expression" dxfId="3" priority="1335">
      <formula>AE18="事"</formula>
    </cfRule>
    <cfRule type="expression" dxfId="4" priority="1334">
      <formula>AE18="年"</formula>
    </cfRule>
    <cfRule type="expression" dxfId="5" priority="1333">
      <formula>AE18="探"</formula>
    </cfRule>
  </conditionalFormatting>
  <conditionalFormatting sqref="AF18:AG18">
    <cfRule type="expression" dxfId="2" priority="1324">
      <formula>AF18="病"</formula>
    </cfRule>
    <cfRule type="expression" dxfId="3" priority="1323">
      <formula>AF18="事"</formula>
    </cfRule>
    <cfRule type="expression" dxfId="4" priority="1322">
      <formula>AF18="年"</formula>
    </cfRule>
    <cfRule type="expression" dxfId="5" priority="1321">
      <formula>AF18="探"</formula>
    </cfRule>
  </conditionalFormatting>
  <conditionalFormatting sqref="AH18">
    <cfRule type="expression" dxfId="2" priority="1328">
      <formula>AH18="病"</formula>
    </cfRule>
    <cfRule type="expression" dxfId="3" priority="1327">
      <formula>AH18="事"</formula>
    </cfRule>
    <cfRule type="expression" dxfId="4" priority="1326">
      <formula>AH18="年"</formula>
    </cfRule>
    <cfRule type="expression" dxfId="5" priority="1325">
      <formula>AH18="探"</formula>
    </cfRule>
  </conditionalFormatting>
  <conditionalFormatting sqref="AI18">
    <cfRule type="expression" dxfId="2" priority="1332">
      <formula>AI18="病"</formula>
    </cfRule>
    <cfRule type="expression" dxfId="3" priority="1331">
      <formula>AI18="事"</formula>
    </cfRule>
    <cfRule type="expression" dxfId="4" priority="1330">
      <formula>AI18="年"</formula>
    </cfRule>
    <cfRule type="expression" dxfId="5" priority="1329">
      <formula>AI18="探"</formula>
    </cfRule>
  </conditionalFormatting>
  <conditionalFormatting sqref="AJ18">
    <cfRule type="expression" dxfId="2" priority="1320">
      <formula>AJ18="病"</formula>
    </cfRule>
    <cfRule type="expression" dxfId="3" priority="1319">
      <formula>AJ18="事"</formula>
    </cfRule>
    <cfRule type="expression" dxfId="4" priority="1318">
      <formula>AJ18="年"</formula>
    </cfRule>
    <cfRule type="expression" dxfId="5" priority="1317">
      <formula>AJ18="探"</formula>
    </cfRule>
  </conditionalFormatting>
  <conditionalFormatting sqref="AK18">
    <cfRule type="expression" dxfId="2" priority="7252">
      <formula>AK18="病"</formula>
    </cfRule>
    <cfRule type="expression" dxfId="3" priority="7251">
      <formula>AK18="事"</formula>
    </cfRule>
    <cfRule type="expression" dxfId="4" priority="7250">
      <formula>AK18="年"</formula>
    </cfRule>
    <cfRule type="expression" dxfId="5" priority="7249">
      <formula>AK18="探"</formula>
    </cfRule>
  </conditionalFormatting>
  <conditionalFormatting sqref="K19">
    <cfRule type="expression" dxfId="2" priority="6104">
      <formula>K19="病"</formula>
    </cfRule>
    <cfRule type="expression" dxfId="3" priority="6103">
      <formula>K19="事"</formula>
    </cfRule>
    <cfRule type="expression" dxfId="4" priority="6102">
      <formula>K19="年"</formula>
    </cfRule>
    <cfRule type="expression" dxfId="5" priority="6101">
      <formula>K19="探"</formula>
    </cfRule>
  </conditionalFormatting>
  <conditionalFormatting sqref="L19">
    <cfRule type="expression" dxfId="2" priority="6100">
      <formula>L19="病"</formula>
    </cfRule>
    <cfRule type="expression" dxfId="3" priority="6099">
      <formula>L19="事"</formula>
    </cfRule>
    <cfRule type="expression" dxfId="4" priority="6098">
      <formula>L19="年"</formula>
    </cfRule>
    <cfRule type="expression" dxfId="5" priority="6097">
      <formula>L19="探"</formula>
    </cfRule>
  </conditionalFormatting>
  <conditionalFormatting sqref="M19">
    <cfRule type="expression" dxfId="2" priority="6092">
      <formula>M19="病"</formula>
    </cfRule>
    <cfRule type="expression" dxfId="3" priority="6091">
      <formula>M19="事"</formula>
    </cfRule>
    <cfRule type="expression" dxfId="4" priority="6090">
      <formula>M19="年"</formula>
    </cfRule>
    <cfRule type="expression" dxfId="5" priority="6089">
      <formula>M19="探"</formula>
    </cfRule>
  </conditionalFormatting>
  <conditionalFormatting sqref="N19">
    <cfRule type="expression" dxfId="2" priority="6096">
      <formula>N19="病"</formula>
    </cfRule>
    <cfRule type="expression" dxfId="3" priority="6095">
      <formula>N19="事"</formula>
    </cfRule>
    <cfRule type="expression" dxfId="4" priority="6094">
      <formula>N19="年"</formula>
    </cfRule>
    <cfRule type="expression" dxfId="5" priority="6093">
      <formula>N19="探"</formula>
    </cfRule>
  </conditionalFormatting>
  <conditionalFormatting sqref="O19">
    <cfRule type="expression" dxfId="2" priority="5248">
      <formula>O19="病"</formula>
    </cfRule>
    <cfRule type="expression" dxfId="3" priority="5247">
      <formula>O19="事"</formula>
    </cfRule>
    <cfRule type="expression" dxfId="4" priority="5246">
      <formula>O19="年"</formula>
    </cfRule>
    <cfRule type="expression" dxfId="5" priority="5245">
      <formula>O19="探"</formula>
    </cfRule>
  </conditionalFormatting>
  <conditionalFormatting sqref="P19">
    <cfRule type="expression" dxfId="2" priority="5244">
      <formula>P19="病"</formula>
    </cfRule>
    <cfRule type="expression" dxfId="3" priority="5243">
      <formula>P19="事"</formula>
    </cfRule>
    <cfRule type="expression" dxfId="4" priority="5242">
      <formula>P19="年"</formula>
    </cfRule>
    <cfRule type="expression" dxfId="5" priority="5241">
      <formula>P19="探"</formula>
    </cfRule>
  </conditionalFormatting>
  <conditionalFormatting sqref="Q19">
    <cfRule type="expression" dxfId="2" priority="5236">
      <formula>Q19="病"</formula>
    </cfRule>
    <cfRule type="expression" dxfId="3" priority="5235">
      <formula>Q19="事"</formula>
    </cfRule>
    <cfRule type="expression" dxfId="4" priority="5234">
      <formula>Q19="年"</formula>
    </cfRule>
    <cfRule type="expression" dxfId="5" priority="5233">
      <formula>Q19="探"</formula>
    </cfRule>
  </conditionalFormatting>
  <conditionalFormatting sqref="R19">
    <cfRule type="expression" dxfId="2" priority="5240">
      <formula>R19="病"</formula>
    </cfRule>
    <cfRule type="expression" dxfId="3" priority="5239">
      <formula>R19="事"</formula>
    </cfRule>
    <cfRule type="expression" dxfId="4" priority="5238">
      <formula>R19="年"</formula>
    </cfRule>
    <cfRule type="expression" dxfId="5" priority="5237">
      <formula>R19="探"</formula>
    </cfRule>
  </conditionalFormatting>
  <conditionalFormatting sqref="S19">
    <cfRule type="expression" dxfId="2" priority="5232">
      <formula>S19="病"</formula>
    </cfRule>
    <cfRule type="expression" dxfId="3" priority="5231">
      <formula>S19="事"</formula>
    </cfRule>
    <cfRule type="expression" dxfId="4" priority="5230">
      <formula>S19="年"</formula>
    </cfRule>
    <cfRule type="expression" dxfId="5" priority="5229">
      <formula>S19="探"</formula>
    </cfRule>
  </conditionalFormatting>
  <conditionalFormatting sqref="T19">
    <cfRule type="expression" dxfId="2" priority="4556">
      <formula>T19="病"</formula>
    </cfRule>
    <cfRule type="expression" dxfId="3" priority="4555">
      <formula>T19="事"</formula>
    </cfRule>
    <cfRule type="expression" dxfId="4" priority="4554">
      <formula>T19="年"</formula>
    </cfRule>
    <cfRule type="expression" dxfId="5" priority="4553">
      <formula>T19="探"</formula>
    </cfRule>
  </conditionalFormatting>
  <conditionalFormatting sqref="U19">
    <cfRule type="expression" dxfId="2" priority="4560">
      <formula>U19="病"</formula>
    </cfRule>
    <cfRule type="expression" dxfId="3" priority="4559">
      <formula>U19="事"</formula>
    </cfRule>
    <cfRule type="expression" dxfId="4" priority="4558">
      <formula>U19="年"</formula>
    </cfRule>
    <cfRule type="expression" dxfId="5" priority="4557">
      <formula>U19="探"</formula>
    </cfRule>
  </conditionalFormatting>
  <conditionalFormatting sqref="V19">
    <cfRule type="expression" dxfId="2" priority="4564">
      <formula>V19="病"</formula>
    </cfRule>
    <cfRule type="expression" dxfId="3" priority="4563">
      <formula>V19="事"</formula>
    </cfRule>
    <cfRule type="expression" dxfId="4" priority="4562">
      <formula>V19="年"</formula>
    </cfRule>
    <cfRule type="expression" dxfId="5" priority="4561">
      <formula>V19="探"</formula>
    </cfRule>
  </conditionalFormatting>
  <conditionalFormatting sqref="W19:X19">
    <cfRule type="expression" dxfId="2" priority="4552">
      <formula>W19="病"</formula>
    </cfRule>
    <cfRule type="expression" dxfId="3" priority="4551">
      <formula>W19="事"</formula>
    </cfRule>
    <cfRule type="expression" dxfId="4" priority="4550">
      <formula>W19="年"</formula>
    </cfRule>
    <cfRule type="expression" dxfId="5" priority="4549">
      <formula>W19="探"</formula>
    </cfRule>
  </conditionalFormatting>
  <conditionalFormatting sqref="Z19">
    <cfRule type="expression" dxfId="2" priority="2104">
      <formula>Z19="病"</formula>
    </cfRule>
    <cfRule type="expression" dxfId="3" priority="2103">
      <formula>Z19="事"</formula>
    </cfRule>
    <cfRule type="expression" dxfId="4" priority="2102">
      <formula>Z19="年"</formula>
    </cfRule>
    <cfRule type="expression" dxfId="5" priority="2101">
      <formula>Z19="探"</formula>
    </cfRule>
  </conditionalFormatting>
  <conditionalFormatting sqref="AA19:AB19">
    <cfRule type="expression" dxfId="2" priority="2100">
      <formula>AA19="病"</formula>
    </cfRule>
    <cfRule type="expression" dxfId="3" priority="2099">
      <formula>AA19="事"</formula>
    </cfRule>
    <cfRule type="expression" dxfId="4" priority="2098">
      <formula>AA19="年"</formula>
    </cfRule>
    <cfRule type="expression" dxfId="5" priority="2097">
      <formula>AA19="探"</formula>
    </cfRule>
  </conditionalFormatting>
  <conditionalFormatting sqref="AC19">
    <cfRule type="expression" dxfId="2" priority="2096">
      <formula>AC19="病"</formula>
    </cfRule>
    <cfRule type="expression" dxfId="3" priority="2095">
      <formula>AC19="事"</formula>
    </cfRule>
    <cfRule type="expression" dxfId="4" priority="2094">
      <formula>AC19="年"</formula>
    </cfRule>
    <cfRule type="expression" dxfId="5" priority="2093">
      <formula>AC19="探"</formula>
    </cfRule>
  </conditionalFormatting>
  <conditionalFormatting sqref="AD19">
    <cfRule type="expression" dxfId="2" priority="2892">
      <formula>AD19="病"</formula>
    </cfRule>
    <cfRule type="expression" dxfId="3" priority="2891">
      <formula>AD19="事"</formula>
    </cfRule>
    <cfRule type="expression" dxfId="4" priority="2890">
      <formula>AD19="年"</formula>
    </cfRule>
    <cfRule type="expression" dxfId="5" priority="2889">
      <formula>AD19="探"</formula>
    </cfRule>
  </conditionalFormatting>
  <conditionalFormatting sqref="AE19:AF19">
    <cfRule type="expression" dxfId="2" priority="7248">
      <formula>AE19="病"</formula>
    </cfRule>
    <cfRule type="expression" dxfId="3" priority="7247">
      <formula>AE19="事"</formula>
    </cfRule>
    <cfRule type="expression" dxfId="4" priority="7246">
      <formula>AE19="年"</formula>
    </cfRule>
    <cfRule type="expression" dxfId="5" priority="7245">
      <formula>AE19="探"</formula>
    </cfRule>
  </conditionalFormatting>
  <conditionalFormatting sqref="AG19">
    <cfRule type="expression" dxfId="2" priority="7244">
      <formula>AG19="病"</formula>
    </cfRule>
    <cfRule type="expression" dxfId="3" priority="7243">
      <formula>AG19="事"</formula>
    </cfRule>
    <cfRule type="expression" dxfId="4" priority="7242">
      <formula>AG19="年"</formula>
    </cfRule>
    <cfRule type="expression" dxfId="5" priority="7241">
      <formula>AG19="探"</formula>
    </cfRule>
  </conditionalFormatting>
  <conditionalFormatting sqref="AH19">
    <cfRule type="expression" dxfId="2" priority="1308">
      <formula>AH19="病"</formula>
    </cfRule>
    <cfRule type="expression" dxfId="3" priority="1307">
      <formula>AH19="事"</formula>
    </cfRule>
    <cfRule type="expression" dxfId="4" priority="1306">
      <formula>AH19="年"</formula>
    </cfRule>
    <cfRule type="expression" dxfId="5" priority="1305">
      <formula>AH19="探"</formula>
    </cfRule>
  </conditionalFormatting>
  <conditionalFormatting sqref="AI19:AJ19">
    <cfRule type="expression" dxfId="2" priority="1316">
      <formula>AI19="病"</formula>
    </cfRule>
    <cfRule type="expression" dxfId="3" priority="1315">
      <formula>AI19="事"</formula>
    </cfRule>
    <cfRule type="expression" dxfId="4" priority="1314">
      <formula>AI19="年"</formula>
    </cfRule>
    <cfRule type="expression" dxfId="5" priority="1313">
      <formula>AI19="探"</formula>
    </cfRule>
  </conditionalFormatting>
  <conditionalFormatting sqref="AK19">
    <cfRule type="expression" dxfId="2" priority="1312">
      <formula>AK19="病"</formula>
    </cfRule>
    <cfRule type="expression" dxfId="3" priority="1311">
      <formula>AK19="事"</formula>
    </cfRule>
    <cfRule type="expression" dxfId="4" priority="1310">
      <formula>AK19="年"</formula>
    </cfRule>
    <cfRule type="expression" dxfId="5" priority="1309">
      <formula>AK19="探"</formula>
    </cfRule>
  </conditionalFormatting>
  <conditionalFormatting sqref="G20:H20">
    <cfRule type="expression" dxfId="2" priority="6328">
      <formula>G20="病"</formula>
    </cfRule>
    <cfRule type="expression" dxfId="3" priority="6327">
      <formula>G20="事"</formula>
    </cfRule>
    <cfRule type="expression" dxfId="4" priority="6326">
      <formula>G20="年"</formula>
    </cfRule>
    <cfRule type="expression" dxfId="5" priority="6325">
      <formula>G20="探"</formula>
    </cfRule>
  </conditionalFormatting>
  <conditionalFormatting sqref="I20">
    <cfRule type="expression" dxfId="2" priority="6332">
      <formula>I20="病"</formula>
    </cfRule>
    <cfRule type="expression" dxfId="3" priority="6331">
      <formula>I20="事"</formula>
    </cfRule>
    <cfRule type="expression" dxfId="4" priority="6330">
      <formula>I20="年"</formula>
    </cfRule>
    <cfRule type="expression" dxfId="5" priority="6329">
      <formula>I20="探"</formula>
    </cfRule>
  </conditionalFormatting>
  <conditionalFormatting sqref="J20">
    <cfRule type="expression" dxfId="2" priority="8772">
      <formula>J20="病"</formula>
    </cfRule>
    <cfRule type="expression" dxfId="3" priority="8771">
      <formula>J20="事"</formula>
    </cfRule>
    <cfRule type="expression" dxfId="4" priority="8770">
      <formula>J20="年"</formula>
    </cfRule>
    <cfRule type="expression" dxfId="5" priority="8769">
      <formula>J20="探"</formula>
    </cfRule>
  </conditionalFormatting>
  <conditionalFormatting sqref="K20:L20">
    <cfRule type="expression" dxfId="2" priority="6088">
      <formula>K20="病"</formula>
    </cfRule>
    <cfRule type="expression" dxfId="3" priority="6087">
      <formula>K20="事"</formula>
    </cfRule>
    <cfRule type="expression" dxfId="4" priority="6086">
      <formula>K20="年"</formula>
    </cfRule>
    <cfRule type="expression" dxfId="5" priority="6085">
      <formula>K20="探"</formula>
    </cfRule>
  </conditionalFormatting>
  <conditionalFormatting sqref="N20">
    <cfRule type="expression" dxfId="2" priority="6080">
      <formula>N20="病"</formula>
    </cfRule>
    <cfRule type="expression" dxfId="3" priority="6079">
      <formula>N20="事"</formula>
    </cfRule>
    <cfRule type="expression" dxfId="4" priority="6078">
      <formula>N20="年"</formula>
    </cfRule>
    <cfRule type="expression" dxfId="5" priority="6077">
      <formula>N20="探"</formula>
    </cfRule>
  </conditionalFormatting>
  <conditionalFormatting sqref="O20">
    <cfRule type="expression" dxfId="2" priority="5228">
      <formula>O20="病"</formula>
    </cfRule>
    <cfRule type="expression" dxfId="3" priority="5227">
      <formula>O20="事"</formula>
    </cfRule>
    <cfRule type="expression" dxfId="4" priority="5226">
      <formula>O20="年"</formula>
    </cfRule>
    <cfRule type="expression" dxfId="5" priority="5225">
      <formula>O20="探"</formula>
    </cfRule>
  </conditionalFormatting>
  <conditionalFormatting sqref="P20">
    <cfRule type="expression" dxfId="2" priority="5220">
      <formula>P20="病"</formula>
    </cfRule>
    <cfRule type="expression" dxfId="3" priority="5219">
      <formula>P20="事"</formula>
    </cfRule>
    <cfRule type="expression" dxfId="4" priority="5218">
      <formula>P20="年"</formula>
    </cfRule>
    <cfRule type="expression" dxfId="5" priority="5217">
      <formula>P20="探"</formula>
    </cfRule>
  </conditionalFormatting>
  <conditionalFormatting sqref="Q20">
    <cfRule type="expression" dxfId="2" priority="5224">
      <formula>Q20="病"</formula>
    </cfRule>
    <cfRule type="expression" dxfId="3" priority="5223">
      <formula>Q20="事"</formula>
    </cfRule>
    <cfRule type="expression" dxfId="4" priority="5222">
      <formula>Q20="年"</formula>
    </cfRule>
    <cfRule type="expression" dxfId="5" priority="5221">
      <formula>Q20="探"</formula>
    </cfRule>
  </conditionalFormatting>
  <conditionalFormatting sqref="R20:S20">
    <cfRule type="expression" dxfId="2" priority="5216">
      <formula>R20="病"</formula>
    </cfRule>
    <cfRule type="expression" dxfId="3" priority="5215">
      <formula>R20="事"</formula>
    </cfRule>
    <cfRule type="expression" dxfId="4" priority="5214">
      <formula>R20="年"</formula>
    </cfRule>
    <cfRule type="expression" dxfId="5" priority="5213">
      <formula>R20="探"</formula>
    </cfRule>
  </conditionalFormatting>
  <conditionalFormatting sqref="T20">
    <cfRule type="expression" dxfId="2" priority="4544">
      <formula>T20="病"</formula>
    </cfRule>
    <cfRule type="expression" dxfId="3" priority="4543">
      <formula>T20="事"</formula>
    </cfRule>
    <cfRule type="expression" dxfId="4" priority="4542">
      <formula>T20="年"</formula>
    </cfRule>
    <cfRule type="expression" dxfId="5" priority="4541">
      <formula>T20="探"</formula>
    </cfRule>
  </conditionalFormatting>
  <conditionalFormatting sqref="U20">
    <cfRule type="expression" dxfId="2" priority="4548">
      <formula>U20="病"</formula>
    </cfRule>
    <cfRule type="expression" dxfId="3" priority="4547">
      <formula>U20="事"</formula>
    </cfRule>
    <cfRule type="expression" dxfId="4" priority="4546">
      <formula>U20="年"</formula>
    </cfRule>
    <cfRule type="expression" dxfId="5" priority="4545">
      <formula>U20="探"</formula>
    </cfRule>
  </conditionalFormatting>
  <conditionalFormatting sqref="V20:W20">
    <cfRule type="expression" dxfId="2" priority="4536">
      <formula>V20="病"</formula>
    </cfRule>
    <cfRule type="expression" dxfId="3" priority="4535">
      <formula>V20="事"</formula>
    </cfRule>
    <cfRule type="expression" dxfId="4" priority="4534">
      <formula>V20="年"</formula>
    </cfRule>
    <cfRule type="expression" dxfId="5" priority="4533">
      <formula>V20="探"</formula>
    </cfRule>
  </conditionalFormatting>
  <conditionalFormatting sqref="X20">
    <cfRule type="expression" dxfId="2" priority="4540">
      <formula>X20="病"</formula>
    </cfRule>
    <cfRule type="expression" dxfId="3" priority="4539">
      <formula>X20="事"</formula>
    </cfRule>
    <cfRule type="expression" dxfId="4" priority="4538">
      <formula>X20="年"</formula>
    </cfRule>
    <cfRule type="expression" dxfId="5" priority="4537">
      <formula>X20="探"</formula>
    </cfRule>
  </conditionalFormatting>
  <conditionalFormatting sqref="Y20">
    <cfRule type="expression" dxfId="2" priority="2880">
      <formula>Y20="病"</formula>
    </cfRule>
    <cfRule type="expression" dxfId="3" priority="2879">
      <formula>Y20="事"</formula>
    </cfRule>
    <cfRule type="expression" dxfId="4" priority="2878">
      <formula>Y20="年"</formula>
    </cfRule>
    <cfRule type="expression" dxfId="5" priority="2877">
      <formula>Y20="探"</formula>
    </cfRule>
  </conditionalFormatting>
  <conditionalFormatting sqref="Z20:AA20">
    <cfRule type="expression" dxfId="2" priority="2876">
      <formula>Z20="病"</formula>
    </cfRule>
    <cfRule type="expression" dxfId="3" priority="2875">
      <formula>Z20="事"</formula>
    </cfRule>
    <cfRule type="expression" dxfId="4" priority="2874">
      <formula>Z20="年"</formula>
    </cfRule>
    <cfRule type="expression" dxfId="5" priority="2873">
      <formula>Z20="探"</formula>
    </cfRule>
  </conditionalFormatting>
  <conditionalFormatting sqref="AB20">
    <cfRule type="expression" dxfId="2" priority="2868">
      <formula>AB20="病"</formula>
    </cfRule>
    <cfRule type="expression" dxfId="3" priority="2867">
      <formula>AB20="事"</formula>
    </cfRule>
    <cfRule type="expression" dxfId="4" priority="2866">
      <formula>AB20="年"</formula>
    </cfRule>
    <cfRule type="expression" dxfId="5" priority="2865">
      <formula>AB20="探"</formula>
    </cfRule>
  </conditionalFormatting>
  <conditionalFormatting sqref="AC20">
    <cfRule type="expression" dxfId="2" priority="2872">
      <formula>AC20="病"</formula>
    </cfRule>
    <cfRule type="expression" dxfId="3" priority="2871">
      <formula>AC20="事"</formula>
    </cfRule>
    <cfRule type="expression" dxfId="4" priority="2870">
      <formula>AC20="年"</formula>
    </cfRule>
    <cfRule type="expression" dxfId="5" priority="2869">
      <formula>AC20="探"</formula>
    </cfRule>
  </conditionalFormatting>
  <conditionalFormatting sqref="AD20:AE20">
    <cfRule type="expression" dxfId="2" priority="2864">
      <formula>AD20="病"</formula>
    </cfRule>
    <cfRule type="expression" dxfId="3" priority="2863">
      <formula>AD20="事"</formula>
    </cfRule>
    <cfRule type="expression" dxfId="4" priority="2862">
      <formula>AD20="年"</formula>
    </cfRule>
    <cfRule type="expression" dxfId="5" priority="2861">
      <formula>AD20="探"</formula>
    </cfRule>
  </conditionalFormatting>
  <conditionalFormatting sqref="AF20">
    <cfRule type="expression" dxfId="2" priority="7240">
      <formula>AF20="病"</formula>
    </cfRule>
    <cfRule type="expression" dxfId="3" priority="7239">
      <formula>AF20="事"</formula>
    </cfRule>
    <cfRule type="expression" dxfId="4" priority="7238">
      <formula>AF20="年"</formula>
    </cfRule>
    <cfRule type="expression" dxfId="5" priority="7237">
      <formula>AF20="探"</formula>
    </cfRule>
  </conditionalFormatting>
  <conditionalFormatting sqref="AG20:AK20">
    <cfRule type="expression" dxfId="2" priority="7236">
      <formula>AG20="病"</formula>
    </cfRule>
    <cfRule type="expression" dxfId="3" priority="7235">
      <formula>AG20="事"</formula>
    </cfRule>
    <cfRule type="expression" dxfId="4" priority="7234">
      <formula>AG20="年"</formula>
    </cfRule>
    <cfRule type="expression" dxfId="5" priority="7233">
      <formula>AG20="探"</formula>
    </cfRule>
  </conditionalFormatting>
  <conditionalFormatting sqref="G21:H21">
    <cfRule type="expression" dxfId="2" priority="6312">
      <formula>G21="病"</formula>
    </cfRule>
    <cfRule type="expression" dxfId="3" priority="6311">
      <formula>G21="事"</formula>
    </cfRule>
    <cfRule type="expression" dxfId="4" priority="6310">
      <formula>G21="年"</formula>
    </cfRule>
    <cfRule type="expression" dxfId="5" priority="6309">
      <formula>G21="探"</formula>
    </cfRule>
  </conditionalFormatting>
  <conditionalFormatting sqref="I21">
    <cfRule type="expression" dxfId="2" priority="6316">
      <formula>I21="病"</formula>
    </cfRule>
    <cfRule type="expression" dxfId="3" priority="6315">
      <formula>I21="事"</formula>
    </cfRule>
    <cfRule type="expression" dxfId="4" priority="6314">
      <formula>I21="年"</formula>
    </cfRule>
    <cfRule type="expression" dxfId="5" priority="6313">
      <formula>I21="探"</formula>
    </cfRule>
  </conditionalFormatting>
  <conditionalFormatting sqref="K21:L21">
    <cfRule type="expression" dxfId="2" priority="5836">
      <formula>K21="病"</formula>
    </cfRule>
    <cfRule type="expression" dxfId="3" priority="5835">
      <formula>K21="事"</formula>
    </cfRule>
    <cfRule type="expression" dxfId="4" priority="5834">
      <formula>K21="年"</formula>
    </cfRule>
    <cfRule type="expression" dxfId="5" priority="5833">
      <formula>K21="探"</formula>
    </cfRule>
  </conditionalFormatting>
  <conditionalFormatting sqref="N21:Q21">
    <cfRule type="expression" dxfId="2" priority="6076">
      <formula>N21="病"</formula>
    </cfRule>
    <cfRule type="expression" dxfId="3" priority="6075">
      <formula>N21="事"</formula>
    </cfRule>
    <cfRule type="expression" dxfId="4" priority="6074">
      <formula>N21="年"</formula>
    </cfRule>
    <cfRule type="expression" dxfId="5" priority="6073">
      <formula>N21="探"</formula>
    </cfRule>
  </conditionalFormatting>
  <conditionalFormatting sqref="T21">
    <cfRule type="expression" dxfId="2" priority="4524">
      <formula>T21="病"</formula>
    </cfRule>
    <cfRule type="expression" dxfId="3" priority="4523">
      <formula>T21="事"</formula>
    </cfRule>
    <cfRule type="expression" dxfId="4" priority="4522">
      <formula>T21="年"</formula>
    </cfRule>
    <cfRule type="expression" dxfId="5" priority="4521">
      <formula>T21="探"</formula>
    </cfRule>
  </conditionalFormatting>
  <conditionalFormatting sqref="U21">
    <cfRule type="expression" dxfId="2" priority="4528">
      <formula>U21="病"</formula>
    </cfRule>
    <cfRule type="expression" dxfId="3" priority="4527">
      <formula>U21="事"</formula>
    </cfRule>
    <cfRule type="expression" dxfId="4" priority="4526">
      <formula>U21="年"</formula>
    </cfRule>
    <cfRule type="expression" dxfId="5" priority="4525">
      <formula>U21="探"</formula>
    </cfRule>
  </conditionalFormatting>
  <conditionalFormatting sqref="V21">
    <cfRule type="expression" dxfId="2" priority="4532">
      <formula>V21="病"</formula>
    </cfRule>
    <cfRule type="expression" dxfId="3" priority="4531">
      <formula>V21="事"</formula>
    </cfRule>
    <cfRule type="expression" dxfId="4" priority="4530">
      <formula>V21="年"</formula>
    </cfRule>
    <cfRule type="expression" dxfId="5" priority="4529">
      <formula>V21="探"</formula>
    </cfRule>
  </conditionalFormatting>
  <conditionalFormatting sqref="W21">
    <cfRule type="expression" dxfId="2" priority="4520">
      <formula>W21="病"</formula>
    </cfRule>
    <cfRule type="expression" dxfId="3" priority="4519">
      <formula>W21="事"</formula>
    </cfRule>
    <cfRule type="expression" dxfId="4" priority="4518">
      <formula>W21="年"</formula>
    </cfRule>
    <cfRule type="expression" dxfId="5" priority="4517">
      <formula>W21="探"</formula>
    </cfRule>
  </conditionalFormatting>
  <conditionalFormatting sqref="X21">
    <cfRule type="expression" dxfId="2" priority="4508">
      <formula>X21="病"</formula>
    </cfRule>
    <cfRule type="expression" dxfId="3" priority="4507">
      <formula>X21="事"</formula>
    </cfRule>
    <cfRule type="expression" dxfId="4" priority="4506">
      <formula>X21="年"</formula>
    </cfRule>
    <cfRule type="expression" dxfId="5" priority="4505">
      <formula>X21="探"</formula>
    </cfRule>
  </conditionalFormatting>
  <conditionalFormatting sqref="Y21">
    <cfRule type="expression" dxfId="2" priority="4512">
      <formula>Y21="病"</formula>
    </cfRule>
    <cfRule type="expression" dxfId="3" priority="4511">
      <formula>Y21="事"</formula>
    </cfRule>
    <cfRule type="expression" dxfId="4" priority="4510">
      <formula>Y21="年"</formula>
    </cfRule>
    <cfRule type="expression" dxfId="5" priority="4509">
      <formula>Y21="探"</formula>
    </cfRule>
  </conditionalFormatting>
  <conditionalFormatting sqref="Z21">
    <cfRule type="expression" dxfId="2" priority="2092">
      <formula>Z21="病"</formula>
    </cfRule>
    <cfRule type="expression" dxfId="3" priority="2091">
      <formula>Z21="事"</formula>
    </cfRule>
    <cfRule type="expression" dxfId="4" priority="2090">
      <formula>Z21="年"</formula>
    </cfRule>
    <cfRule type="expression" dxfId="5" priority="2089">
      <formula>Z21="探"</formula>
    </cfRule>
  </conditionalFormatting>
  <conditionalFormatting sqref="AA21">
    <cfRule type="expression" dxfId="2" priority="2088">
      <formula>AA21="病"</formula>
    </cfRule>
    <cfRule type="expression" dxfId="3" priority="2087">
      <formula>AA21="事"</formula>
    </cfRule>
    <cfRule type="expression" dxfId="4" priority="2086">
      <formula>AA21="年"</formula>
    </cfRule>
    <cfRule type="expression" dxfId="5" priority="2085">
      <formula>AA21="探"</formula>
    </cfRule>
  </conditionalFormatting>
  <conditionalFormatting sqref="AB21">
    <cfRule type="expression" dxfId="2" priority="2080">
      <formula>AB21="病"</formula>
    </cfRule>
    <cfRule type="expression" dxfId="3" priority="2079">
      <formula>AB21="事"</formula>
    </cfRule>
    <cfRule type="expression" dxfId="4" priority="2078">
      <formula>AB21="年"</formula>
    </cfRule>
    <cfRule type="expression" dxfId="5" priority="2077">
      <formula>AB21="探"</formula>
    </cfRule>
  </conditionalFormatting>
  <conditionalFormatting sqref="AC21">
    <cfRule type="expression" dxfId="2" priority="2084">
      <formula>AC21="病"</formula>
    </cfRule>
    <cfRule type="expression" dxfId="3" priority="2083">
      <formula>AC21="事"</formula>
    </cfRule>
    <cfRule type="expression" dxfId="4" priority="2082">
      <formula>AC21="年"</formula>
    </cfRule>
    <cfRule type="expression" dxfId="5" priority="2081">
      <formula>AC21="探"</formula>
    </cfRule>
  </conditionalFormatting>
  <conditionalFormatting sqref="AE21:AF21">
    <cfRule type="expression" dxfId="2" priority="1304">
      <formula>AE21="病"</formula>
    </cfRule>
    <cfRule type="expression" dxfId="3" priority="1303">
      <formula>AE21="事"</formula>
    </cfRule>
    <cfRule type="expression" dxfId="4" priority="1302">
      <formula>AE21="年"</formula>
    </cfRule>
    <cfRule type="expression" dxfId="5" priority="1301">
      <formula>AE21="探"</formula>
    </cfRule>
  </conditionalFormatting>
  <conditionalFormatting sqref="AG21">
    <cfRule type="expression" dxfId="2" priority="1300">
      <formula>AG21="病"</formula>
    </cfRule>
    <cfRule type="expression" dxfId="3" priority="1299">
      <formula>AG21="事"</formula>
    </cfRule>
    <cfRule type="expression" dxfId="4" priority="1298">
      <formula>AG21="年"</formula>
    </cfRule>
    <cfRule type="expression" dxfId="5" priority="1297">
      <formula>AG21="探"</formula>
    </cfRule>
  </conditionalFormatting>
  <conditionalFormatting sqref="AH21">
    <cfRule type="expression" dxfId="2" priority="1288">
      <formula>AH21="病"</formula>
    </cfRule>
    <cfRule type="expression" dxfId="3" priority="1287">
      <formula>AH21="事"</formula>
    </cfRule>
    <cfRule type="expression" dxfId="4" priority="1286">
      <formula>AH21="年"</formula>
    </cfRule>
    <cfRule type="expression" dxfId="5" priority="1285">
      <formula>AH21="探"</formula>
    </cfRule>
  </conditionalFormatting>
  <conditionalFormatting sqref="AI21:AJ21">
    <cfRule type="expression" dxfId="2" priority="1296">
      <formula>AI21="病"</formula>
    </cfRule>
    <cfRule type="expression" dxfId="3" priority="1295">
      <formula>AI21="事"</formula>
    </cfRule>
    <cfRule type="expression" dxfId="4" priority="1294">
      <formula>AI21="年"</formula>
    </cfRule>
    <cfRule type="expression" dxfId="5" priority="1293">
      <formula>AI21="探"</formula>
    </cfRule>
  </conditionalFormatting>
  <conditionalFormatting sqref="AK21">
    <cfRule type="expression" dxfId="2" priority="1292">
      <formula>AK21="病"</formula>
    </cfRule>
    <cfRule type="expression" dxfId="3" priority="1291">
      <formula>AK21="事"</formula>
    </cfRule>
    <cfRule type="expression" dxfId="4" priority="1290">
      <formula>AK21="年"</formula>
    </cfRule>
    <cfRule type="expression" dxfId="5" priority="1289">
      <formula>AK21="探"</formula>
    </cfRule>
  </conditionalFormatting>
  <conditionalFormatting sqref="K22">
    <cfRule type="expression" dxfId="2" priority="6072">
      <formula>K22="病"</formula>
    </cfRule>
    <cfRule type="expression" dxfId="3" priority="6071">
      <formula>K22="事"</formula>
    </cfRule>
    <cfRule type="expression" dxfId="4" priority="6070">
      <formula>K22="年"</formula>
    </cfRule>
    <cfRule type="expression" dxfId="5" priority="6069">
      <formula>K22="探"</formula>
    </cfRule>
  </conditionalFormatting>
  <conditionalFormatting sqref="L22:N22">
    <cfRule type="expression" dxfId="2" priority="6068">
      <formula>L22="病"</formula>
    </cfRule>
    <cfRule type="expression" dxfId="3" priority="6067">
      <formula>L22="事"</formula>
    </cfRule>
    <cfRule type="expression" dxfId="4" priority="6066">
      <formula>L22="年"</formula>
    </cfRule>
    <cfRule type="expression" dxfId="5" priority="6065">
      <formula>L22="探"</formula>
    </cfRule>
  </conditionalFormatting>
  <conditionalFormatting sqref="Y22:AB22">
    <cfRule type="expression" dxfId="2" priority="8328">
      <formula>Y22="病"</formula>
    </cfRule>
    <cfRule type="expression" dxfId="3" priority="8327">
      <formula>Y22="事"</formula>
    </cfRule>
    <cfRule type="expression" dxfId="4" priority="8326">
      <formula>Y22="年"</formula>
    </cfRule>
    <cfRule type="expression" dxfId="5" priority="8325">
      <formula>Y22="探"</formula>
    </cfRule>
  </conditionalFormatting>
  <conditionalFormatting sqref="AD22">
    <cfRule type="expression" dxfId="2" priority="8324">
      <formula>AD22="病"</formula>
    </cfRule>
    <cfRule type="expression" dxfId="3" priority="8323">
      <formula>AD22="事"</formula>
    </cfRule>
    <cfRule type="expression" dxfId="4" priority="8322">
      <formula>AD22="年"</formula>
    </cfRule>
    <cfRule type="expression" dxfId="5" priority="8321">
      <formula>AD22="探"</formula>
    </cfRule>
  </conditionalFormatting>
  <conditionalFormatting sqref="AE22">
    <cfRule type="expression" dxfId="2" priority="1148">
      <formula>AE22="病"</formula>
    </cfRule>
    <cfRule type="expression" dxfId="3" priority="1147">
      <formula>AE22="事"</formula>
    </cfRule>
    <cfRule type="expression" dxfId="4" priority="1146">
      <formula>AE22="年"</formula>
    </cfRule>
    <cfRule type="expression" dxfId="5" priority="1145">
      <formula>AE22="探"</formula>
    </cfRule>
  </conditionalFormatting>
  <conditionalFormatting sqref="AG22:AJ22">
    <cfRule type="expression" dxfId="2" priority="1144">
      <formula>AG22="病"</formula>
    </cfRule>
    <cfRule type="expression" dxfId="3" priority="1143">
      <formula>AG22="事"</formula>
    </cfRule>
    <cfRule type="expression" dxfId="4" priority="1142">
      <formula>AG22="年"</formula>
    </cfRule>
    <cfRule type="expression" dxfId="5" priority="1141">
      <formula>AG22="探"</formula>
    </cfRule>
  </conditionalFormatting>
  <conditionalFormatting sqref="K23">
    <cfRule type="expression" dxfId="2" priority="6064">
      <formula>K23="病"</formula>
    </cfRule>
    <cfRule type="expression" dxfId="3" priority="6063">
      <formula>K23="事"</formula>
    </cfRule>
    <cfRule type="expression" dxfId="4" priority="6062">
      <formula>K23="年"</formula>
    </cfRule>
    <cfRule type="expression" dxfId="5" priority="6061">
      <formula>K23="探"</formula>
    </cfRule>
  </conditionalFormatting>
  <conditionalFormatting sqref="L23">
    <cfRule type="expression" dxfId="2" priority="6060">
      <formula>L23="病"</formula>
    </cfRule>
    <cfRule type="expression" dxfId="3" priority="6059">
      <formula>L23="事"</formula>
    </cfRule>
    <cfRule type="expression" dxfId="4" priority="6058">
      <formula>L23="年"</formula>
    </cfRule>
    <cfRule type="expression" dxfId="5" priority="6057">
      <formula>L23="探"</formula>
    </cfRule>
  </conditionalFormatting>
  <conditionalFormatting sqref="M23">
    <cfRule type="expression" dxfId="2" priority="6052">
      <formula>M23="病"</formula>
    </cfRule>
    <cfRule type="expression" dxfId="3" priority="6051">
      <formula>M23="事"</formula>
    </cfRule>
    <cfRule type="expression" dxfId="4" priority="6050">
      <formula>M23="年"</formula>
    </cfRule>
    <cfRule type="expression" dxfId="5" priority="6049">
      <formula>M23="探"</formula>
    </cfRule>
  </conditionalFormatting>
  <conditionalFormatting sqref="N23">
    <cfRule type="expression" dxfId="2" priority="6056">
      <formula>N23="病"</formula>
    </cfRule>
    <cfRule type="expression" dxfId="3" priority="6055">
      <formula>N23="事"</formula>
    </cfRule>
    <cfRule type="expression" dxfId="4" priority="6054">
      <formula>N23="年"</formula>
    </cfRule>
    <cfRule type="expression" dxfId="5" priority="6053">
      <formula>N23="探"</formula>
    </cfRule>
  </conditionalFormatting>
  <conditionalFormatting sqref="O23:P23">
    <cfRule type="expression" dxfId="2" priority="8768">
      <formula>O23="病"</formula>
    </cfRule>
    <cfRule type="expression" dxfId="3" priority="8767">
      <formula>O23="事"</formula>
    </cfRule>
    <cfRule type="expression" dxfId="4" priority="8766">
      <formula>O23="年"</formula>
    </cfRule>
    <cfRule type="expression" dxfId="5" priority="8765">
      <formula>O23="探"</formula>
    </cfRule>
  </conditionalFormatting>
  <conditionalFormatting sqref="Q23:R23">
    <cfRule type="expression" dxfId="2" priority="8764">
      <formula>Q23="病"</formula>
    </cfRule>
    <cfRule type="expression" dxfId="3" priority="8763">
      <formula>Q23="事"</formula>
    </cfRule>
    <cfRule type="expression" dxfId="4" priority="8762">
      <formula>Q23="年"</formula>
    </cfRule>
    <cfRule type="expression" dxfId="5" priority="8761">
      <formula>Q23="探"</formula>
    </cfRule>
  </conditionalFormatting>
  <conditionalFormatting sqref="S23:T23">
    <cfRule type="expression" dxfId="2" priority="8760">
      <formula>S23="病"</formula>
    </cfRule>
    <cfRule type="expression" dxfId="3" priority="8759">
      <formula>S23="事"</formula>
    </cfRule>
    <cfRule type="expression" dxfId="4" priority="8758">
      <formula>S23="年"</formula>
    </cfRule>
    <cfRule type="expression" dxfId="5" priority="8757">
      <formula>S23="探"</formula>
    </cfRule>
  </conditionalFormatting>
  <conditionalFormatting sqref="G24">
    <cfRule type="expression" dxfId="2" priority="8756">
      <formula>G24="病"</formula>
    </cfRule>
    <cfRule type="expression" dxfId="3" priority="8755">
      <formula>G24="事"</formula>
    </cfRule>
    <cfRule type="expression" dxfId="4" priority="8754">
      <formula>G24="年"</formula>
    </cfRule>
    <cfRule type="expression" dxfId="5" priority="8753">
      <formula>G24="探"</formula>
    </cfRule>
  </conditionalFormatting>
  <conditionalFormatting sqref="H24:J24">
    <cfRule type="expression" dxfId="2" priority="8752">
      <formula>H24="病"</formula>
    </cfRule>
    <cfRule type="expression" dxfId="3" priority="8751">
      <formula>H24="事"</formula>
    </cfRule>
    <cfRule type="expression" dxfId="4" priority="8750">
      <formula>H24="年"</formula>
    </cfRule>
    <cfRule type="expression" dxfId="5" priority="8749">
      <formula>H24="探"</formula>
    </cfRule>
  </conditionalFormatting>
  <conditionalFormatting sqref="K24">
    <cfRule type="expression" dxfId="2" priority="6048">
      <formula>K24="病"</formula>
    </cfRule>
    <cfRule type="expression" dxfId="3" priority="6047">
      <formula>K24="事"</formula>
    </cfRule>
    <cfRule type="expression" dxfId="4" priority="6046">
      <formula>K24="年"</formula>
    </cfRule>
    <cfRule type="expression" dxfId="5" priority="6045">
      <formula>K24="探"</formula>
    </cfRule>
  </conditionalFormatting>
  <conditionalFormatting sqref="L24:M24">
    <cfRule type="expression" dxfId="2" priority="6040">
      <formula>L24="病"</formula>
    </cfRule>
    <cfRule type="expression" dxfId="3" priority="6039">
      <formula>L24="事"</formula>
    </cfRule>
    <cfRule type="expression" dxfId="4" priority="6038">
      <formula>L24="年"</formula>
    </cfRule>
    <cfRule type="expression" dxfId="5" priority="6037">
      <formula>L24="探"</formula>
    </cfRule>
  </conditionalFormatting>
  <conditionalFormatting sqref="N24">
    <cfRule type="expression" dxfId="2" priority="6044">
      <formula>N24="病"</formula>
    </cfRule>
    <cfRule type="expression" dxfId="3" priority="6043">
      <formula>N24="事"</formula>
    </cfRule>
    <cfRule type="expression" dxfId="4" priority="6042">
      <formula>N24="年"</formula>
    </cfRule>
    <cfRule type="expression" dxfId="5" priority="6041">
      <formula>N24="探"</formula>
    </cfRule>
  </conditionalFormatting>
  <conditionalFormatting sqref="O24">
    <cfRule type="expression" dxfId="2" priority="8748">
      <formula>O24="病"</formula>
    </cfRule>
    <cfRule type="expression" dxfId="3" priority="8747">
      <formula>O24="事"</formula>
    </cfRule>
    <cfRule type="expression" dxfId="4" priority="8746">
      <formula>O24="年"</formula>
    </cfRule>
    <cfRule type="expression" dxfId="5" priority="8745">
      <formula>O24="探"</formula>
    </cfRule>
  </conditionalFormatting>
  <conditionalFormatting sqref="P24">
    <cfRule type="expression" dxfId="2" priority="8744">
      <formula>P24="病"</formula>
    </cfRule>
    <cfRule type="expression" dxfId="3" priority="8743">
      <formula>P24="事"</formula>
    </cfRule>
    <cfRule type="expression" dxfId="4" priority="8742">
      <formula>P24="年"</formula>
    </cfRule>
    <cfRule type="expression" dxfId="5" priority="8741">
      <formula>P24="探"</formula>
    </cfRule>
  </conditionalFormatting>
  <conditionalFormatting sqref="Q24:R24">
    <cfRule type="expression" dxfId="2" priority="5212">
      <formula>Q24="病"</formula>
    </cfRule>
    <cfRule type="expression" dxfId="3" priority="5211">
      <formula>Q24="事"</formula>
    </cfRule>
    <cfRule type="expression" dxfId="4" priority="5210">
      <formula>Q24="年"</formula>
    </cfRule>
    <cfRule type="expression" dxfId="5" priority="5209">
      <formula>Q24="探"</formula>
    </cfRule>
  </conditionalFormatting>
  <conditionalFormatting sqref="S24">
    <cfRule type="expression" dxfId="2" priority="5208">
      <formula>S24="病"</formula>
    </cfRule>
    <cfRule type="expression" dxfId="3" priority="5207">
      <formula>S24="事"</formula>
    </cfRule>
    <cfRule type="expression" dxfId="4" priority="5206">
      <formula>S24="年"</formula>
    </cfRule>
    <cfRule type="expression" dxfId="5" priority="5205">
      <formula>S24="探"</formula>
    </cfRule>
  </conditionalFormatting>
  <conditionalFormatting sqref="T24:U24">
    <cfRule type="expression" dxfId="2" priority="4492">
      <formula>T24="病"</formula>
    </cfRule>
    <cfRule type="expression" dxfId="3" priority="4491">
      <formula>T24="事"</formula>
    </cfRule>
    <cfRule type="expression" dxfId="4" priority="4490">
      <formula>T24="年"</formula>
    </cfRule>
    <cfRule type="expression" dxfId="5" priority="4489">
      <formula>T24="探"</formula>
    </cfRule>
  </conditionalFormatting>
  <conditionalFormatting sqref="V24">
    <cfRule type="expression" dxfId="2" priority="4496">
      <formula>V24="病"</formula>
    </cfRule>
    <cfRule type="expression" dxfId="3" priority="4495">
      <formula>V24="事"</formula>
    </cfRule>
    <cfRule type="expression" dxfId="4" priority="4494">
      <formula>V24="年"</formula>
    </cfRule>
    <cfRule type="expression" dxfId="5" priority="4493">
      <formula>V24="探"</formula>
    </cfRule>
  </conditionalFormatting>
  <conditionalFormatting sqref="W24">
    <cfRule type="expression" dxfId="2" priority="4504">
      <formula>W24="病"</formula>
    </cfRule>
    <cfRule type="expression" dxfId="3" priority="4503">
      <formula>W24="事"</formula>
    </cfRule>
    <cfRule type="expression" dxfId="4" priority="4502">
      <formula>W24="年"</formula>
    </cfRule>
    <cfRule type="expression" dxfId="5" priority="4501">
      <formula>W24="探"</formula>
    </cfRule>
  </conditionalFormatting>
  <conditionalFormatting sqref="X24">
    <cfRule type="expression" dxfId="2" priority="4500">
      <formula>X24="病"</formula>
    </cfRule>
    <cfRule type="expression" dxfId="3" priority="4499">
      <formula>X24="事"</formula>
    </cfRule>
    <cfRule type="expression" dxfId="4" priority="4498">
      <formula>X24="年"</formula>
    </cfRule>
    <cfRule type="expression" dxfId="5" priority="4497">
      <formula>X24="探"</formula>
    </cfRule>
  </conditionalFormatting>
  <conditionalFormatting sqref="Y24">
    <cfRule type="expression" dxfId="2" priority="2056">
      <formula>Y24="病"</formula>
    </cfRule>
    <cfRule type="expression" dxfId="3" priority="2055">
      <formula>Y24="事"</formula>
    </cfRule>
    <cfRule type="expression" dxfId="4" priority="2054">
      <formula>Y24="年"</formula>
    </cfRule>
    <cfRule type="expression" dxfId="5" priority="2053">
      <formula>Y24="探"</formula>
    </cfRule>
  </conditionalFormatting>
  <conditionalFormatting sqref="Z24:AA24">
    <cfRule type="expression" dxfId="2" priority="2052">
      <formula>Z24="病"</formula>
    </cfRule>
    <cfRule type="expression" dxfId="3" priority="2051">
      <formula>Z24="事"</formula>
    </cfRule>
    <cfRule type="expression" dxfId="4" priority="2050">
      <formula>Z24="年"</formula>
    </cfRule>
    <cfRule type="expression" dxfId="5" priority="2049">
      <formula>Z24="探"</formula>
    </cfRule>
  </conditionalFormatting>
  <conditionalFormatting sqref="AB24">
    <cfRule type="expression" dxfId="2" priority="2048">
      <formula>AB24="病"</formula>
    </cfRule>
    <cfRule type="expression" dxfId="3" priority="2047">
      <formula>AB24="事"</formula>
    </cfRule>
    <cfRule type="expression" dxfId="4" priority="2046">
      <formula>AB24="年"</formula>
    </cfRule>
    <cfRule type="expression" dxfId="5" priority="2045">
      <formula>AB24="探"</formula>
    </cfRule>
  </conditionalFormatting>
  <conditionalFormatting sqref="AC24:AD24">
    <cfRule type="expression" dxfId="2" priority="2040">
      <formula>AC24="病"</formula>
    </cfRule>
    <cfRule type="expression" dxfId="3" priority="2039">
      <formula>AC24="事"</formula>
    </cfRule>
    <cfRule type="expression" dxfId="4" priority="2038">
      <formula>AC24="年"</formula>
    </cfRule>
    <cfRule type="expression" dxfId="5" priority="2037">
      <formula>AC24="探"</formula>
    </cfRule>
  </conditionalFormatting>
  <conditionalFormatting sqref="AE24">
    <cfRule type="expression" dxfId="2" priority="1132">
      <formula>AE24="病"</formula>
    </cfRule>
    <cfRule type="expression" dxfId="3" priority="1131">
      <formula>AE24="事"</formula>
    </cfRule>
    <cfRule type="expression" dxfId="4" priority="1130">
      <formula>AE24="年"</formula>
    </cfRule>
    <cfRule type="expression" dxfId="5" priority="1129">
      <formula>AE24="探"</formula>
    </cfRule>
  </conditionalFormatting>
  <conditionalFormatting sqref="AF24">
    <cfRule type="expression" dxfId="2" priority="1140">
      <formula>AF24="病"</formula>
    </cfRule>
    <cfRule type="expression" dxfId="3" priority="1139">
      <formula>AF24="事"</formula>
    </cfRule>
    <cfRule type="expression" dxfId="4" priority="1138">
      <formula>AF24="年"</formula>
    </cfRule>
    <cfRule type="expression" dxfId="5" priority="1137">
      <formula>AF24="探"</formula>
    </cfRule>
  </conditionalFormatting>
  <conditionalFormatting sqref="AG24">
    <cfRule type="expression" dxfId="2" priority="1136">
      <formula>AG24="病"</formula>
    </cfRule>
    <cfRule type="expression" dxfId="3" priority="1135">
      <formula>AG24="事"</formula>
    </cfRule>
    <cfRule type="expression" dxfId="4" priority="1134">
      <formula>AG24="年"</formula>
    </cfRule>
    <cfRule type="expression" dxfId="5" priority="1133">
      <formula>AG24="探"</formula>
    </cfRule>
  </conditionalFormatting>
  <conditionalFormatting sqref="AH24:AI24">
    <cfRule type="expression" dxfId="2" priority="1128">
      <formula>AH24="病"</formula>
    </cfRule>
    <cfRule type="expression" dxfId="3" priority="1127">
      <formula>AH24="事"</formula>
    </cfRule>
    <cfRule type="expression" dxfId="4" priority="1126">
      <formula>AH24="年"</formula>
    </cfRule>
    <cfRule type="expression" dxfId="5" priority="1125">
      <formula>AH24="探"</formula>
    </cfRule>
  </conditionalFormatting>
  <conditionalFormatting sqref="AJ24">
    <cfRule type="expression" dxfId="2" priority="1124">
      <formula>AJ24="病"</formula>
    </cfRule>
    <cfRule type="expression" dxfId="3" priority="1123">
      <formula>AJ24="事"</formula>
    </cfRule>
    <cfRule type="expression" dxfId="4" priority="1122">
      <formula>AJ24="年"</formula>
    </cfRule>
    <cfRule type="expression" dxfId="5" priority="1121">
      <formula>AJ24="探"</formula>
    </cfRule>
  </conditionalFormatting>
  <conditionalFormatting sqref="AK24:AL24">
    <cfRule type="expression" dxfId="2" priority="1120">
      <formula>AK24="病"</formula>
    </cfRule>
    <cfRule type="expression" dxfId="3" priority="1119">
      <formula>AK24="事"</formula>
    </cfRule>
    <cfRule type="expression" dxfId="4" priority="1118">
      <formula>AK24="年"</formula>
    </cfRule>
    <cfRule type="expression" dxfId="5" priority="1117">
      <formula>AK24="探"</formula>
    </cfRule>
  </conditionalFormatting>
  <conditionalFormatting sqref="G25:R25">
    <cfRule type="expression" dxfId="2" priority="8736">
      <formula>G25="病"</formula>
    </cfRule>
    <cfRule type="expression" dxfId="3" priority="8735">
      <formula>G25="事"</formula>
    </cfRule>
    <cfRule type="expression" dxfId="4" priority="8734">
      <formula>G25="年"</formula>
    </cfRule>
    <cfRule type="expression" dxfId="5" priority="8733">
      <formula>G25="探"</formula>
    </cfRule>
  </conditionalFormatting>
  <conditionalFormatting sqref="S25:T25">
    <cfRule type="expression" dxfId="2" priority="8740">
      <formula>S25="病"</formula>
    </cfRule>
    <cfRule type="expression" dxfId="3" priority="8739">
      <formula>S25="事"</formula>
    </cfRule>
    <cfRule type="expression" dxfId="4" priority="8738">
      <formula>S25="年"</formula>
    </cfRule>
    <cfRule type="expression" dxfId="5" priority="8737">
      <formula>S25="探"</formula>
    </cfRule>
  </conditionalFormatting>
  <conditionalFormatting sqref="U25:X25">
    <cfRule type="expression" dxfId="2" priority="8464">
      <formula>U25="病"</formula>
    </cfRule>
    <cfRule type="expression" dxfId="3" priority="8463">
      <formula>U25="事"</formula>
    </cfRule>
    <cfRule type="expression" dxfId="4" priority="8462">
      <formula>U25="年"</formula>
    </cfRule>
    <cfRule type="expression" dxfId="5" priority="8461">
      <formula>U25="探"</formula>
    </cfRule>
  </conditionalFormatting>
  <conditionalFormatting sqref="Y25:Z25">
    <cfRule type="expression" dxfId="2" priority="2844">
      <formula>Y25="病"</formula>
    </cfRule>
    <cfRule type="expression" dxfId="3" priority="2843">
      <formula>Y25="事"</formula>
    </cfRule>
    <cfRule type="expression" dxfId="4" priority="2842">
      <formula>Y25="年"</formula>
    </cfRule>
    <cfRule type="expression" dxfId="5" priority="2841">
      <formula>Y25="探"</formula>
    </cfRule>
  </conditionalFormatting>
  <conditionalFormatting sqref="AA25">
    <cfRule type="expression" dxfId="2" priority="2840">
      <formula>AA25="病"</formula>
    </cfRule>
    <cfRule type="expression" dxfId="3" priority="2839">
      <formula>AA25="事"</formula>
    </cfRule>
    <cfRule type="expression" dxfId="4" priority="2838">
      <formula>AA25="年"</formula>
    </cfRule>
    <cfRule type="expression" dxfId="5" priority="2837">
      <formula>AA25="探"</formula>
    </cfRule>
  </conditionalFormatting>
  <conditionalFormatting sqref="AB25">
    <cfRule type="expression" dxfId="2" priority="2836">
      <formula>AB25="病"</formula>
    </cfRule>
    <cfRule type="expression" dxfId="3" priority="2835">
      <formula>AB25="事"</formula>
    </cfRule>
    <cfRule type="expression" dxfId="4" priority="2834">
      <formula>AB25="年"</formula>
    </cfRule>
    <cfRule type="expression" dxfId="5" priority="2833">
      <formula>AB25="探"</formula>
    </cfRule>
  </conditionalFormatting>
  <conditionalFormatting sqref="AC25">
    <cfRule type="expression" dxfId="2" priority="2832">
      <formula>AC25="病"</formula>
    </cfRule>
    <cfRule type="expression" dxfId="3" priority="2831">
      <formula>AC25="事"</formula>
    </cfRule>
    <cfRule type="expression" dxfId="4" priority="2830">
      <formula>AC25="年"</formula>
    </cfRule>
    <cfRule type="expression" dxfId="5" priority="2829">
      <formula>AC25="探"</formula>
    </cfRule>
  </conditionalFormatting>
  <conditionalFormatting sqref="AD25">
    <cfRule type="expression" dxfId="2" priority="2824">
      <formula>AD25="病"</formula>
    </cfRule>
    <cfRule type="expression" dxfId="3" priority="2823">
      <formula>AD25="事"</formula>
    </cfRule>
    <cfRule type="expression" dxfId="4" priority="2822">
      <formula>AD25="年"</formula>
    </cfRule>
    <cfRule type="expression" dxfId="5" priority="2821">
      <formula>AD25="探"</formula>
    </cfRule>
  </conditionalFormatting>
  <conditionalFormatting sqref="AE25">
    <cfRule type="expression" dxfId="2" priority="2828">
      <formula>AE25="病"</formula>
    </cfRule>
    <cfRule type="expression" dxfId="3" priority="2827">
      <formula>AE25="事"</formula>
    </cfRule>
    <cfRule type="expression" dxfId="4" priority="2826">
      <formula>AE25="年"</formula>
    </cfRule>
    <cfRule type="expression" dxfId="5" priority="2825">
      <formula>AE25="探"</formula>
    </cfRule>
  </conditionalFormatting>
  <conditionalFormatting sqref="AF25">
    <cfRule type="expression" dxfId="2" priority="7216">
      <formula>AF25="病"</formula>
    </cfRule>
    <cfRule type="expression" dxfId="3" priority="7215">
      <formula>AF25="事"</formula>
    </cfRule>
    <cfRule type="expression" dxfId="4" priority="7214">
      <formula>AF25="年"</formula>
    </cfRule>
    <cfRule type="expression" dxfId="5" priority="7213">
      <formula>AF25="探"</formula>
    </cfRule>
  </conditionalFormatting>
  <conditionalFormatting sqref="AG25">
    <cfRule type="expression" dxfId="2" priority="1112">
      <formula>AG25="病"</formula>
    </cfRule>
    <cfRule type="expression" dxfId="3" priority="1111">
      <formula>AG25="事"</formula>
    </cfRule>
    <cfRule type="expression" dxfId="4" priority="1110">
      <formula>AG25="年"</formula>
    </cfRule>
    <cfRule type="expression" dxfId="5" priority="1109">
      <formula>AG25="探"</formula>
    </cfRule>
  </conditionalFormatting>
  <conditionalFormatting sqref="AH25">
    <cfRule type="expression" dxfId="2" priority="1104">
      <formula>AH25="病"</formula>
    </cfRule>
    <cfRule type="expression" dxfId="3" priority="1103">
      <formula>AH25="事"</formula>
    </cfRule>
    <cfRule type="expression" dxfId="4" priority="1102">
      <formula>AH25="年"</formula>
    </cfRule>
    <cfRule type="expression" dxfId="5" priority="1101">
      <formula>AH25="探"</formula>
    </cfRule>
  </conditionalFormatting>
  <conditionalFormatting sqref="AI25">
    <cfRule type="expression" dxfId="2" priority="1108">
      <formula>AI25="病"</formula>
    </cfRule>
    <cfRule type="expression" dxfId="3" priority="1107">
      <formula>AI25="事"</formula>
    </cfRule>
    <cfRule type="expression" dxfId="4" priority="1106">
      <formula>AI25="年"</formula>
    </cfRule>
    <cfRule type="expression" dxfId="5" priority="1105">
      <formula>AI25="探"</formula>
    </cfRule>
  </conditionalFormatting>
  <conditionalFormatting sqref="AJ25">
    <cfRule type="expression" dxfId="2" priority="1116">
      <formula>AJ25="病"</formula>
    </cfRule>
    <cfRule type="expression" dxfId="3" priority="1115">
      <formula>AJ25="事"</formula>
    </cfRule>
    <cfRule type="expression" dxfId="4" priority="1114">
      <formula>AJ25="年"</formula>
    </cfRule>
    <cfRule type="expression" dxfId="5" priority="1113">
      <formula>AJ25="探"</formula>
    </cfRule>
  </conditionalFormatting>
  <conditionalFormatting sqref="AK25">
    <cfRule type="expression" dxfId="2" priority="7212">
      <formula>AK25="病"</formula>
    </cfRule>
    <cfRule type="expression" dxfId="3" priority="7211">
      <formula>AK25="事"</formula>
    </cfRule>
    <cfRule type="expression" dxfId="4" priority="7210">
      <formula>AK25="年"</formula>
    </cfRule>
    <cfRule type="expression" dxfId="5" priority="7209">
      <formula>AK25="探"</formula>
    </cfRule>
  </conditionalFormatting>
  <conditionalFormatting sqref="K26">
    <cfRule type="expression" dxfId="2" priority="6036">
      <formula>K26="病"</formula>
    </cfRule>
    <cfRule type="expression" dxfId="3" priority="6035">
      <formula>K26="事"</formula>
    </cfRule>
    <cfRule type="expression" dxfId="4" priority="6034">
      <formula>K26="年"</formula>
    </cfRule>
    <cfRule type="expression" dxfId="5" priority="6033">
      <formula>K26="探"</formula>
    </cfRule>
  </conditionalFormatting>
  <conditionalFormatting sqref="L26">
    <cfRule type="expression" dxfId="2" priority="6028">
      <formula>L26="病"</formula>
    </cfRule>
    <cfRule type="expression" dxfId="3" priority="6027">
      <formula>L26="事"</formula>
    </cfRule>
    <cfRule type="expression" dxfId="4" priority="6026">
      <formula>L26="年"</formula>
    </cfRule>
    <cfRule type="expression" dxfId="5" priority="6025">
      <formula>L26="探"</formula>
    </cfRule>
  </conditionalFormatting>
  <conditionalFormatting sqref="M26">
    <cfRule type="expression" dxfId="2" priority="6032">
      <formula>M26="病"</formula>
    </cfRule>
    <cfRule type="expression" dxfId="3" priority="6031">
      <formula>M26="事"</formula>
    </cfRule>
    <cfRule type="expression" dxfId="4" priority="6030">
      <formula>M26="年"</formula>
    </cfRule>
    <cfRule type="expression" dxfId="5" priority="6029">
      <formula>M26="探"</formula>
    </cfRule>
  </conditionalFormatting>
  <conditionalFormatting sqref="N26">
    <cfRule type="expression" dxfId="2" priority="8732">
      <formula>N26="病"</formula>
    </cfRule>
    <cfRule type="expression" dxfId="3" priority="8731">
      <formula>N26="事"</formula>
    </cfRule>
    <cfRule type="expression" dxfId="4" priority="8730">
      <formula>N26="年"</formula>
    </cfRule>
    <cfRule type="expression" dxfId="5" priority="8729">
      <formula>N26="探"</formula>
    </cfRule>
  </conditionalFormatting>
  <conditionalFormatting sqref="O26:P26">
    <cfRule type="expression" dxfId="2" priority="8728">
      <formula>O26="病"</formula>
    </cfRule>
    <cfRule type="expression" dxfId="3" priority="8727">
      <formula>O26="事"</formula>
    </cfRule>
    <cfRule type="expression" dxfId="4" priority="8726">
      <formula>O26="年"</formula>
    </cfRule>
    <cfRule type="expression" dxfId="5" priority="8725">
      <formula>O26="探"</formula>
    </cfRule>
  </conditionalFormatting>
  <conditionalFormatting sqref="Q26">
    <cfRule type="expression" dxfId="2" priority="5204">
      <formula>Q26="病"</formula>
    </cfRule>
    <cfRule type="expression" dxfId="3" priority="5203">
      <formula>Q26="事"</formula>
    </cfRule>
    <cfRule type="expression" dxfId="4" priority="5202">
      <formula>Q26="年"</formula>
    </cfRule>
    <cfRule type="expression" dxfId="5" priority="5201">
      <formula>Q26="探"</formula>
    </cfRule>
  </conditionalFormatting>
  <conditionalFormatting sqref="R26:S26">
    <cfRule type="expression" dxfId="2" priority="5200">
      <formula>R26="病"</formula>
    </cfRule>
    <cfRule type="expression" dxfId="3" priority="5199">
      <formula>R26="事"</formula>
    </cfRule>
    <cfRule type="expression" dxfId="4" priority="5198">
      <formula>R26="年"</formula>
    </cfRule>
    <cfRule type="expression" dxfId="5" priority="5197">
      <formula>R26="探"</formula>
    </cfRule>
  </conditionalFormatting>
  <conditionalFormatting sqref="T26">
    <cfRule type="expression" dxfId="2" priority="4488">
      <formula>T26="病"</formula>
    </cfRule>
    <cfRule type="expression" dxfId="3" priority="4487">
      <formula>T26="事"</formula>
    </cfRule>
    <cfRule type="expression" dxfId="4" priority="4486">
      <formula>T26="年"</formula>
    </cfRule>
    <cfRule type="expression" dxfId="5" priority="4485">
      <formula>T26="探"</formula>
    </cfRule>
  </conditionalFormatting>
  <conditionalFormatting sqref="U26:V26">
    <cfRule type="expression" dxfId="2" priority="4484">
      <formula>U26="病"</formula>
    </cfRule>
    <cfRule type="expression" dxfId="3" priority="4483">
      <formula>U26="事"</formula>
    </cfRule>
    <cfRule type="expression" dxfId="4" priority="4482">
      <formula>U26="年"</formula>
    </cfRule>
    <cfRule type="expression" dxfId="5" priority="4481">
      <formula>U26="探"</formula>
    </cfRule>
  </conditionalFormatting>
  <conditionalFormatting sqref="W26">
    <cfRule type="expression" dxfId="2" priority="4480">
      <formula>W26="病"</formula>
    </cfRule>
    <cfRule type="expression" dxfId="3" priority="4479">
      <formula>W26="事"</formula>
    </cfRule>
    <cfRule type="expression" dxfId="4" priority="4478">
      <formula>W26="年"</formula>
    </cfRule>
    <cfRule type="expression" dxfId="5" priority="4477">
      <formula>W26="探"</formula>
    </cfRule>
  </conditionalFormatting>
  <conditionalFormatting sqref="X26:Y26">
    <cfRule type="expression" dxfId="2" priority="4476">
      <formula>X26="病"</formula>
    </cfRule>
    <cfRule type="expression" dxfId="3" priority="4475">
      <formula>X26="事"</formula>
    </cfRule>
    <cfRule type="expression" dxfId="4" priority="4474">
      <formula>X26="年"</formula>
    </cfRule>
    <cfRule type="expression" dxfId="5" priority="4473">
      <formula>X26="探"</formula>
    </cfRule>
  </conditionalFormatting>
  <conditionalFormatting sqref="Z26">
    <cfRule type="expression" dxfId="2" priority="8316">
      <formula>Z26="病"</formula>
    </cfRule>
    <cfRule type="expression" dxfId="3" priority="8315">
      <formula>Z26="事"</formula>
    </cfRule>
    <cfRule type="expression" dxfId="4" priority="8314">
      <formula>Z26="年"</formula>
    </cfRule>
    <cfRule type="expression" dxfId="5" priority="8313">
      <formula>Z26="探"</formula>
    </cfRule>
  </conditionalFormatting>
  <conditionalFormatting sqref="AA26">
    <cfRule type="expression" dxfId="2" priority="2032">
      <formula>AA26="病"</formula>
    </cfRule>
    <cfRule type="expression" dxfId="3" priority="2031">
      <formula>AA26="事"</formula>
    </cfRule>
    <cfRule type="expression" dxfId="4" priority="2030">
      <formula>AA26="年"</formula>
    </cfRule>
    <cfRule type="expression" dxfId="5" priority="2029">
      <formula>AA26="探"</formula>
    </cfRule>
  </conditionalFormatting>
  <conditionalFormatting sqref="AB26:AC26">
    <cfRule type="expression" dxfId="2" priority="2028">
      <formula>AB26="病"</formula>
    </cfRule>
    <cfRule type="expression" dxfId="3" priority="2027">
      <formula>AB26="事"</formula>
    </cfRule>
    <cfRule type="expression" dxfId="4" priority="2026">
      <formula>AB26="年"</formula>
    </cfRule>
    <cfRule type="expression" dxfId="5" priority="2025">
      <formula>AB26="探"</formula>
    </cfRule>
  </conditionalFormatting>
  <conditionalFormatting sqref="AD26">
    <cfRule type="expression" dxfId="2" priority="2036">
      <formula>AD26="病"</formula>
    </cfRule>
    <cfRule type="expression" dxfId="3" priority="2035">
      <formula>AD26="事"</formula>
    </cfRule>
    <cfRule type="expression" dxfId="4" priority="2034">
      <formula>AD26="年"</formula>
    </cfRule>
    <cfRule type="expression" dxfId="5" priority="2033">
      <formula>AD26="探"</formula>
    </cfRule>
  </conditionalFormatting>
  <conditionalFormatting sqref="AE26">
    <cfRule type="expression" dxfId="2" priority="1096">
      <formula>AE26="病"</formula>
    </cfRule>
    <cfRule type="expression" dxfId="3" priority="1095">
      <formula>AE26="事"</formula>
    </cfRule>
    <cfRule type="expression" dxfId="4" priority="1094">
      <formula>AE26="年"</formula>
    </cfRule>
    <cfRule type="expression" dxfId="5" priority="1093">
      <formula>AE26="探"</formula>
    </cfRule>
  </conditionalFormatting>
  <conditionalFormatting sqref="AF26:AG26">
    <cfRule type="expression" dxfId="2" priority="1092">
      <formula>AF26="病"</formula>
    </cfRule>
    <cfRule type="expression" dxfId="3" priority="1091">
      <formula>AF26="事"</formula>
    </cfRule>
    <cfRule type="expression" dxfId="4" priority="1090">
      <formula>AF26="年"</formula>
    </cfRule>
    <cfRule type="expression" dxfId="5" priority="1089">
      <formula>AF26="探"</formula>
    </cfRule>
  </conditionalFormatting>
  <conditionalFormatting sqref="AH26">
    <cfRule type="expression" dxfId="2" priority="1100">
      <formula>AH26="病"</formula>
    </cfRule>
    <cfRule type="expression" dxfId="3" priority="1099">
      <formula>AH26="事"</formula>
    </cfRule>
    <cfRule type="expression" dxfId="4" priority="1098">
      <formula>AH26="年"</formula>
    </cfRule>
    <cfRule type="expression" dxfId="5" priority="1097">
      <formula>AH26="探"</formula>
    </cfRule>
  </conditionalFormatting>
  <conditionalFormatting sqref="AI26">
    <cfRule type="expression" dxfId="2" priority="1088">
      <formula>AI26="病"</formula>
    </cfRule>
    <cfRule type="expression" dxfId="3" priority="1087">
      <formula>AI26="事"</formula>
    </cfRule>
    <cfRule type="expression" dxfId="4" priority="1086">
      <formula>AI26="年"</formula>
    </cfRule>
    <cfRule type="expression" dxfId="5" priority="1085">
      <formula>AI26="探"</formula>
    </cfRule>
  </conditionalFormatting>
  <conditionalFormatting sqref="AJ26:AK26">
    <cfRule type="expression" dxfId="2" priority="1084">
      <formula>AJ26="病"</formula>
    </cfRule>
    <cfRule type="expression" dxfId="3" priority="1083">
      <formula>AJ26="事"</formula>
    </cfRule>
    <cfRule type="expression" dxfId="4" priority="1082">
      <formula>AJ26="年"</formula>
    </cfRule>
    <cfRule type="expression" dxfId="5" priority="1081">
      <formula>AJ26="探"</formula>
    </cfRule>
  </conditionalFormatting>
  <conditionalFormatting sqref="G27:J27">
    <cfRule type="expression" dxfId="2" priority="9064">
      <formula>G27="病"</formula>
    </cfRule>
    <cfRule type="expression" dxfId="3" priority="9063">
      <formula>G27="事"</formula>
    </cfRule>
    <cfRule type="expression" dxfId="4" priority="9062">
      <formula>G27="年"</formula>
    </cfRule>
    <cfRule type="expression" dxfId="5" priority="9061">
      <formula>G27="探"</formula>
    </cfRule>
  </conditionalFormatting>
  <conditionalFormatting sqref="K27:L27">
    <cfRule type="expression" dxfId="2" priority="6024">
      <formula>K27="病"</formula>
    </cfRule>
    <cfRule type="expression" dxfId="3" priority="6023">
      <formula>K27="事"</formula>
    </cfRule>
    <cfRule type="expression" dxfId="4" priority="6022">
      <formula>K27="年"</formula>
    </cfRule>
    <cfRule type="expression" dxfId="5" priority="6021">
      <formula>K27="探"</formula>
    </cfRule>
  </conditionalFormatting>
  <conditionalFormatting sqref="M27">
    <cfRule type="expression" dxfId="2" priority="6020">
      <formula>M27="病"</formula>
    </cfRule>
    <cfRule type="expression" dxfId="3" priority="6019">
      <formula>M27="事"</formula>
    </cfRule>
    <cfRule type="expression" dxfId="4" priority="6018">
      <formula>M27="年"</formula>
    </cfRule>
    <cfRule type="expression" dxfId="5" priority="6017">
      <formula>M27="探"</formula>
    </cfRule>
  </conditionalFormatting>
  <conditionalFormatting sqref="N27">
    <cfRule type="expression" dxfId="2" priority="6016">
      <formula>N27="病"</formula>
    </cfRule>
    <cfRule type="expression" dxfId="3" priority="6015">
      <formula>N27="事"</formula>
    </cfRule>
    <cfRule type="expression" dxfId="4" priority="6014">
      <formula>N27="年"</formula>
    </cfRule>
    <cfRule type="expression" dxfId="5" priority="6013">
      <formula>N27="探"</formula>
    </cfRule>
  </conditionalFormatting>
  <conditionalFormatting sqref="O27:P27">
    <cfRule type="expression" dxfId="2" priority="5196">
      <formula>O27="病"</formula>
    </cfRule>
    <cfRule type="expression" dxfId="3" priority="5195">
      <formula>O27="事"</formula>
    </cfRule>
    <cfRule type="expression" dxfId="4" priority="5194">
      <formula>O27="年"</formula>
    </cfRule>
    <cfRule type="expression" dxfId="5" priority="5193">
      <formula>O27="探"</formula>
    </cfRule>
  </conditionalFormatting>
  <conditionalFormatting sqref="Q27">
    <cfRule type="expression" dxfId="2" priority="5192">
      <formula>Q27="病"</formula>
    </cfRule>
    <cfRule type="expression" dxfId="3" priority="5191">
      <formula>Q27="事"</formula>
    </cfRule>
    <cfRule type="expression" dxfId="4" priority="5190">
      <formula>Q27="年"</formula>
    </cfRule>
    <cfRule type="expression" dxfId="5" priority="5189">
      <formula>Q27="探"</formula>
    </cfRule>
  </conditionalFormatting>
  <conditionalFormatting sqref="R27">
    <cfRule type="expression" dxfId="2" priority="5188">
      <formula>R27="病"</formula>
    </cfRule>
    <cfRule type="expression" dxfId="3" priority="5187">
      <formula>R27="事"</formula>
    </cfRule>
    <cfRule type="expression" dxfId="4" priority="5186">
      <formula>R27="年"</formula>
    </cfRule>
    <cfRule type="expression" dxfId="5" priority="5185">
      <formula>R27="探"</formula>
    </cfRule>
  </conditionalFormatting>
  <conditionalFormatting sqref="S27">
    <cfRule type="expression" dxfId="2" priority="8724">
      <formula>S27="病"</formula>
    </cfRule>
    <cfRule type="expression" dxfId="3" priority="8723">
      <formula>S27="事"</formula>
    </cfRule>
    <cfRule type="expression" dxfId="4" priority="8722">
      <formula>S27="年"</formula>
    </cfRule>
    <cfRule type="expression" dxfId="5" priority="8721">
      <formula>S27="探"</formula>
    </cfRule>
  </conditionalFormatting>
  <conditionalFormatting sqref="T27">
    <cfRule type="expression" dxfId="2" priority="4472">
      <formula>T27="病"</formula>
    </cfRule>
    <cfRule type="expression" dxfId="3" priority="4471">
      <formula>T27="事"</formula>
    </cfRule>
    <cfRule type="expression" dxfId="4" priority="4470">
      <formula>T27="年"</formula>
    </cfRule>
    <cfRule type="expression" dxfId="5" priority="4469">
      <formula>T27="探"</formula>
    </cfRule>
  </conditionalFormatting>
  <conditionalFormatting sqref="U27:X27">
    <cfRule type="expression" dxfId="2" priority="4468">
      <formula>U27="病"</formula>
    </cfRule>
    <cfRule type="expression" dxfId="3" priority="4467">
      <formula>U27="事"</formula>
    </cfRule>
    <cfRule type="expression" dxfId="4" priority="4466">
      <formula>U27="年"</formula>
    </cfRule>
    <cfRule type="expression" dxfId="5" priority="4465">
      <formula>U27="探"</formula>
    </cfRule>
  </conditionalFormatting>
  <conditionalFormatting sqref="Y27">
    <cfRule type="expression" dxfId="2" priority="2820">
      <formula>Y27="病"</formula>
    </cfRule>
    <cfRule type="expression" dxfId="3" priority="2819">
      <formula>Y27="事"</formula>
    </cfRule>
    <cfRule type="expression" dxfId="4" priority="2818">
      <formula>Y27="年"</formula>
    </cfRule>
    <cfRule type="expression" dxfId="5" priority="2817">
      <formula>Y27="探"</formula>
    </cfRule>
  </conditionalFormatting>
  <conditionalFormatting sqref="Z27">
    <cfRule type="expression" dxfId="2" priority="2816">
      <formula>Z27="病"</formula>
    </cfRule>
    <cfRule type="expression" dxfId="3" priority="2815">
      <formula>Z27="事"</formula>
    </cfRule>
    <cfRule type="expression" dxfId="4" priority="2814">
      <formula>Z27="年"</formula>
    </cfRule>
    <cfRule type="expression" dxfId="5" priority="2813">
      <formula>Z27="探"</formula>
    </cfRule>
  </conditionalFormatting>
  <conditionalFormatting sqref="AA27:AB27">
    <cfRule type="expression" dxfId="2" priority="2812">
      <formula>AA27="病"</formula>
    </cfRule>
    <cfRule type="expression" dxfId="3" priority="2811">
      <formula>AA27="事"</formula>
    </cfRule>
    <cfRule type="expression" dxfId="4" priority="2810">
      <formula>AA27="年"</formula>
    </cfRule>
    <cfRule type="expression" dxfId="5" priority="2809">
      <formula>AA27="探"</formula>
    </cfRule>
  </conditionalFormatting>
  <conditionalFormatting sqref="AC27">
    <cfRule type="expression" dxfId="2" priority="2808">
      <formula>AC27="病"</formula>
    </cfRule>
    <cfRule type="expression" dxfId="3" priority="2807">
      <formula>AC27="事"</formula>
    </cfRule>
    <cfRule type="expression" dxfId="4" priority="2806">
      <formula>AC27="年"</formula>
    </cfRule>
    <cfRule type="expression" dxfId="5" priority="2805">
      <formula>AC27="探"</formula>
    </cfRule>
  </conditionalFormatting>
  <conditionalFormatting sqref="AD27">
    <cfRule type="expression" dxfId="2" priority="8300">
      <formula>AD27="病"</formula>
    </cfRule>
    <cfRule type="expression" dxfId="3" priority="8299">
      <formula>AD27="事"</formula>
    </cfRule>
    <cfRule type="expression" dxfId="4" priority="8298">
      <formula>AD27="年"</formula>
    </cfRule>
    <cfRule type="expression" dxfId="5" priority="8297">
      <formula>AD27="探"</formula>
    </cfRule>
  </conditionalFormatting>
  <conditionalFormatting sqref="AE27">
    <cfRule type="expression" dxfId="2" priority="8296">
      <formula>AE27="病"</formula>
    </cfRule>
    <cfRule type="expression" dxfId="3" priority="8295">
      <formula>AE27="事"</formula>
    </cfRule>
    <cfRule type="expression" dxfId="4" priority="8294">
      <formula>AE27="年"</formula>
    </cfRule>
    <cfRule type="expression" dxfId="5" priority="8293">
      <formula>AE27="探"</formula>
    </cfRule>
  </conditionalFormatting>
  <conditionalFormatting sqref="AF27">
    <cfRule type="expression" dxfId="2" priority="7196">
      <formula>AF27="病"</formula>
    </cfRule>
    <cfRule type="expression" dxfId="3" priority="7195">
      <formula>AF27="事"</formula>
    </cfRule>
    <cfRule type="expression" dxfId="4" priority="7194">
      <formula>AF27="年"</formula>
    </cfRule>
    <cfRule type="expression" dxfId="5" priority="7193">
      <formula>AF27="探"</formula>
    </cfRule>
  </conditionalFormatting>
  <conditionalFormatting sqref="AG27">
    <cfRule type="expression" dxfId="2" priority="7200">
      <formula>AG27="病"</formula>
    </cfRule>
    <cfRule type="expression" dxfId="3" priority="7199">
      <formula>AG27="事"</formula>
    </cfRule>
    <cfRule type="expression" dxfId="4" priority="7198">
      <formula>AG27="年"</formula>
    </cfRule>
    <cfRule type="expression" dxfId="5" priority="7197">
      <formula>AG27="探"</formula>
    </cfRule>
  </conditionalFormatting>
  <conditionalFormatting sqref="AH27">
    <cfRule type="expression" dxfId="2" priority="7192">
      <formula>AH27="病"</formula>
    </cfRule>
    <cfRule type="expression" dxfId="3" priority="7191">
      <formula>AH27="事"</formula>
    </cfRule>
    <cfRule type="expression" dxfId="4" priority="7190">
      <formula>AH27="年"</formula>
    </cfRule>
    <cfRule type="expression" dxfId="5" priority="7189">
      <formula>AH27="探"</formula>
    </cfRule>
  </conditionalFormatting>
  <conditionalFormatting sqref="AI27:AK27">
    <cfRule type="expression" dxfId="2" priority="7188">
      <formula>AI27="病"</formula>
    </cfRule>
    <cfRule type="expression" dxfId="3" priority="7187">
      <formula>AI27="事"</formula>
    </cfRule>
    <cfRule type="expression" dxfId="4" priority="7186">
      <formula>AI27="年"</formula>
    </cfRule>
    <cfRule type="expression" dxfId="5" priority="7185">
      <formula>AI27="探"</formula>
    </cfRule>
  </conditionalFormatting>
  <conditionalFormatting sqref="Y28">
    <cfRule type="expression" dxfId="2" priority="7300">
      <formula>Y28="病"</formula>
    </cfRule>
    <cfRule type="expression" dxfId="3" priority="7299">
      <formula>Y28="事"</formula>
    </cfRule>
    <cfRule type="expression" dxfId="4" priority="7298">
      <formula>Y28="年"</formula>
    </cfRule>
    <cfRule type="expression" dxfId="5" priority="7297">
      <formula>Y28="探"</formula>
    </cfRule>
  </conditionalFormatting>
  <conditionalFormatting sqref="Z28:AB28">
    <cfRule type="expression" dxfId="2" priority="7296">
      <formula>Z28="病"</formula>
    </cfRule>
    <cfRule type="expression" dxfId="3" priority="7295">
      <formula>Z28="事"</formula>
    </cfRule>
    <cfRule type="expression" dxfId="4" priority="7294">
      <formula>Z28="年"</formula>
    </cfRule>
    <cfRule type="expression" dxfId="5" priority="7293">
      <formula>Z28="探"</formula>
    </cfRule>
  </conditionalFormatting>
  <conditionalFormatting sqref="AC28:AD28">
    <cfRule type="expression" dxfId="2" priority="7292">
      <formula>AC28="病"</formula>
    </cfRule>
    <cfRule type="expression" dxfId="3" priority="7291">
      <formula>AC28="事"</formula>
    </cfRule>
    <cfRule type="expression" dxfId="4" priority="7290">
      <formula>AC28="年"</formula>
    </cfRule>
    <cfRule type="expression" dxfId="5" priority="7289">
      <formula>AC28="探"</formula>
    </cfRule>
  </conditionalFormatting>
  <conditionalFormatting sqref="AE28:AF28">
    <cfRule type="expression" dxfId="2" priority="1080">
      <formula>AE28="病"</formula>
    </cfRule>
    <cfRule type="expression" dxfId="3" priority="1079">
      <formula>AE28="事"</formula>
    </cfRule>
    <cfRule type="expression" dxfId="4" priority="1078">
      <formula>AE28="年"</formula>
    </cfRule>
    <cfRule type="expression" dxfId="5" priority="1077">
      <formula>AE28="探"</formula>
    </cfRule>
  </conditionalFormatting>
  <conditionalFormatting sqref="AG28">
    <cfRule type="expression" dxfId="2" priority="1076">
      <formula>AG28="病"</formula>
    </cfRule>
    <cfRule type="expression" dxfId="3" priority="1075">
      <formula>AG28="事"</formula>
    </cfRule>
    <cfRule type="expression" dxfId="4" priority="1074">
      <formula>AG28="年"</formula>
    </cfRule>
    <cfRule type="expression" dxfId="5" priority="1073">
      <formula>AG28="探"</formula>
    </cfRule>
  </conditionalFormatting>
  <conditionalFormatting sqref="AH28:AJ28">
    <cfRule type="expression" dxfId="2" priority="1072">
      <formula>AH28="病"</formula>
    </cfRule>
    <cfRule type="expression" dxfId="3" priority="1071">
      <formula>AH28="事"</formula>
    </cfRule>
    <cfRule type="expression" dxfId="4" priority="1070">
      <formula>AH28="年"</formula>
    </cfRule>
    <cfRule type="expression" dxfId="5" priority="1069">
      <formula>AH28="探"</formula>
    </cfRule>
  </conditionalFormatting>
  <conditionalFormatting sqref="AK28">
    <cfRule type="expression" dxfId="2" priority="1068">
      <formula>AK28="病"</formula>
    </cfRule>
    <cfRule type="expression" dxfId="3" priority="1067">
      <formula>AK28="事"</formula>
    </cfRule>
    <cfRule type="expression" dxfId="4" priority="1066">
      <formula>AK28="年"</formula>
    </cfRule>
    <cfRule type="expression" dxfId="5" priority="1065">
      <formula>AK28="探"</formula>
    </cfRule>
  </conditionalFormatting>
  <conditionalFormatting sqref="G29:H29">
    <cfRule type="expression" dxfId="2" priority="9056">
      <formula>G29="病"</formula>
    </cfRule>
    <cfRule type="expression" dxfId="3" priority="9055">
      <formula>G29="事"</formula>
    </cfRule>
    <cfRule type="expression" dxfId="4" priority="9054">
      <formula>G29="年"</formula>
    </cfRule>
    <cfRule type="expression" dxfId="5" priority="9053">
      <formula>G29="探"</formula>
    </cfRule>
  </conditionalFormatting>
  <conditionalFormatting sqref="I29:J29">
    <cfRule type="expression" dxfId="2" priority="9060">
      <formula>I29="病"</formula>
    </cfRule>
    <cfRule type="expression" dxfId="3" priority="9059">
      <formula>I29="事"</formula>
    </cfRule>
    <cfRule type="expression" dxfId="4" priority="9058">
      <formula>I29="年"</formula>
    </cfRule>
    <cfRule type="expression" dxfId="5" priority="9057">
      <formula>I29="探"</formula>
    </cfRule>
  </conditionalFormatting>
  <conditionalFormatting sqref="K29:L29">
    <cfRule type="expression" dxfId="2" priority="6008">
      <formula>K29="病"</formula>
    </cfRule>
    <cfRule type="expression" dxfId="3" priority="6007">
      <formula>K29="事"</formula>
    </cfRule>
    <cfRule type="expression" dxfId="4" priority="6006">
      <formula>K29="年"</formula>
    </cfRule>
    <cfRule type="expression" dxfId="5" priority="6005">
      <formula>K29="探"</formula>
    </cfRule>
  </conditionalFormatting>
  <conditionalFormatting sqref="M29:N29">
    <cfRule type="expression" dxfId="2" priority="6012">
      <formula>M29="病"</formula>
    </cfRule>
    <cfRule type="expression" dxfId="3" priority="6011">
      <formula>M29="事"</formula>
    </cfRule>
    <cfRule type="expression" dxfId="4" priority="6010">
      <formula>M29="年"</formula>
    </cfRule>
    <cfRule type="expression" dxfId="5" priority="6009">
      <formula>M29="探"</formula>
    </cfRule>
  </conditionalFormatting>
  <conditionalFormatting sqref="O29:P29">
    <cfRule type="expression" dxfId="2" priority="5180">
      <formula>O29="病"</formula>
    </cfRule>
    <cfRule type="expression" dxfId="3" priority="5179">
      <formula>O29="事"</formula>
    </cfRule>
    <cfRule type="expression" dxfId="4" priority="5178">
      <formula>O29="年"</formula>
    </cfRule>
    <cfRule type="expression" dxfId="5" priority="5177">
      <formula>O29="探"</formula>
    </cfRule>
  </conditionalFormatting>
  <conditionalFormatting sqref="Q29:R29">
    <cfRule type="expression" dxfId="2" priority="5184">
      <formula>Q29="病"</formula>
    </cfRule>
    <cfRule type="expression" dxfId="3" priority="5183">
      <formula>Q29="事"</formula>
    </cfRule>
    <cfRule type="expression" dxfId="4" priority="5182">
      <formula>Q29="年"</formula>
    </cfRule>
    <cfRule type="expression" dxfId="5" priority="5181">
      <formula>Q29="探"</formula>
    </cfRule>
  </conditionalFormatting>
  <conditionalFormatting sqref="S29:T29">
    <cfRule type="expression" dxfId="2" priority="4452">
      <formula>S29="病"</formula>
    </cfRule>
    <cfRule type="expression" dxfId="3" priority="4451">
      <formula>S29="事"</formula>
    </cfRule>
    <cfRule type="expression" dxfId="4" priority="4450">
      <formula>S29="年"</formula>
    </cfRule>
    <cfRule type="expression" dxfId="5" priority="4449">
      <formula>S29="探"</formula>
    </cfRule>
  </conditionalFormatting>
  <conditionalFormatting sqref="U29:V29">
    <cfRule type="expression" dxfId="2" priority="4456">
      <formula>U29="病"</formula>
    </cfRule>
    <cfRule type="expression" dxfId="3" priority="4455">
      <formula>U29="事"</formula>
    </cfRule>
    <cfRule type="expression" dxfId="4" priority="4454">
      <formula>U29="年"</formula>
    </cfRule>
    <cfRule type="expression" dxfId="5" priority="4453">
      <formula>U29="探"</formula>
    </cfRule>
  </conditionalFormatting>
  <conditionalFormatting sqref="W29">
    <cfRule type="expression" dxfId="2" priority="4448">
      <formula>W29="病"</formula>
    </cfRule>
    <cfRule type="expression" dxfId="3" priority="4447">
      <formula>W29="事"</formula>
    </cfRule>
    <cfRule type="expression" dxfId="4" priority="4446">
      <formula>W29="年"</formula>
    </cfRule>
    <cfRule type="expression" dxfId="5" priority="4445">
      <formula>W29="探"</formula>
    </cfRule>
  </conditionalFormatting>
  <conditionalFormatting sqref="Y29:Z29">
    <cfRule type="expression" dxfId="2" priority="2804">
      <formula>Y29="病"</formula>
    </cfRule>
    <cfRule type="expression" dxfId="3" priority="2803">
      <formula>Y29="事"</formula>
    </cfRule>
    <cfRule type="expression" dxfId="4" priority="2802">
      <formula>Y29="年"</formula>
    </cfRule>
    <cfRule type="expression" dxfId="5" priority="2801">
      <formula>Y29="探"</formula>
    </cfRule>
  </conditionalFormatting>
  <conditionalFormatting sqref="AA29:AB29">
    <cfRule type="expression" dxfId="2" priority="2796">
      <formula>AA29="病"</formula>
    </cfRule>
    <cfRule type="expression" dxfId="3" priority="2795">
      <formula>AA29="事"</formula>
    </cfRule>
    <cfRule type="expression" dxfId="4" priority="2794">
      <formula>AA29="年"</formula>
    </cfRule>
    <cfRule type="expression" dxfId="5" priority="2793">
      <formula>AA29="探"</formula>
    </cfRule>
  </conditionalFormatting>
  <conditionalFormatting sqref="AC29:AD29">
    <cfRule type="expression" dxfId="2" priority="2800">
      <formula>AC29="病"</formula>
    </cfRule>
    <cfRule type="expression" dxfId="3" priority="2799">
      <formula>AC29="事"</formula>
    </cfRule>
    <cfRule type="expression" dxfId="4" priority="2798">
      <formula>AC29="年"</formula>
    </cfRule>
    <cfRule type="expression" dxfId="5" priority="2797">
      <formula>AC29="探"</formula>
    </cfRule>
  </conditionalFormatting>
  <conditionalFormatting sqref="AE29:AF29">
    <cfRule type="expression" dxfId="2" priority="2792">
      <formula>AE29="病"</formula>
    </cfRule>
    <cfRule type="expression" dxfId="3" priority="2791">
      <formula>AE29="事"</formula>
    </cfRule>
    <cfRule type="expression" dxfId="4" priority="2790">
      <formula>AE29="年"</formula>
    </cfRule>
    <cfRule type="expression" dxfId="5" priority="2789">
      <formula>AE29="探"</formula>
    </cfRule>
  </conditionalFormatting>
  <conditionalFormatting sqref="G30:H30">
    <cfRule type="expression" dxfId="2" priority="9048">
      <formula>G30="病"</formula>
    </cfRule>
    <cfRule type="expression" dxfId="3" priority="9047">
      <formula>G30="事"</formula>
    </cfRule>
    <cfRule type="expression" dxfId="4" priority="9046">
      <formula>G30="年"</formula>
    </cfRule>
    <cfRule type="expression" dxfId="5" priority="9045">
      <formula>G30="探"</formula>
    </cfRule>
  </conditionalFormatting>
  <conditionalFormatting sqref="I30:J30">
    <cfRule type="expression" dxfId="2" priority="9052">
      <formula>I30="病"</formula>
    </cfRule>
    <cfRule type="expression" dxfId="3" priority="9051">
      <formula>I30="事"</formula>
    </cfRule>
    <cfRule type="expression" dxfId="4" priority="9050">
      <formula>I30="年"</formula>
    </cfRule>
    <cfRule type="expression" dxfId="5" priority="9049">
      <formula>I30="探"</formula>
    </cfRule>
  </conditionalFormatting>
  <conditionalFormatting sqref="K30:L30">
    <cfRule type="expression" dxfId="2" priority="6004">
      <formula>K30="病"</formula>
    </cfRule>
    <cfRule type="expression" dxfId="3" priority="6003">
      <formula>K30="事"</formula>
    </cfRule>
    <cfRule type="expression" dxfId="4" priority="6002">
      <formula>K30="年"</formula>
    </cfRule>
    <cfRule type="expression" dxfId="5" priority="6001">
      <formula>K30="探"</formula>
    </cfRule>
  </conditionalFormatting>
  <conditionalFormatting sqref="M30:N30">
    <cfRule type="expression" dxfId="2" priority="6000">
      <formula>M30="病"</formula>
    </cfRule>
    <cfRule type="expression" dxfId="3" priority="5999">
      <formula>M30="事"</formula>
    </cfRule>
    <cfRule type="expression" dxfId="4" priority="5998">
      <formula>M30="年"</formula>
    </cfRule>
    <cfRule type="expression" dxfId="5" priority="5997">
      <formula>M30="探"</formula>
    </cfRule>
  </conditionalFormatting>
  <conditionalFormatting sqref="O30:P30">
    <cfRule type="expression" dxfId="2" priority="5176">
      <formula>O30="病"</formula>
    </cfRule>
    <cfRule type="expression" dxfId="3" priority="5175">
      <formula>O30="事"</formula>
    </cfRule>
    <cfRule type="expression" dxfId="4" priority="5174">
      <formula>O30="年"</formula>
    </cfRule>
    <cfRule type="expression" dxfId="5" priority="5173">
      <formula>O30="探"</formula>
    </cfRule>
  </conditionalFormatting>
  <conditionalFormatting sqref="Q30:R30">
    <cfRule type="expression" dxfId="2" priority="5172">
      <formula>Q30="病"</formula>
    </cfRule>
    <cfRule type="expression" dxfId="3" priority="5171">
      <formula>Q30="事"</formula>
    </cfRule>
    <cfRule type="expression" dxfId="4" priority="5170">
      <formula>Q30="年"</formula>
    </cfRule>
    <cfRule type="expression" dxfId="5" priority="5169">
      <formula>Q30="探"</formula>
    </cfRule>
  </conditionalFormatting>
  <conditionalFormatting sqref="S30">
    <cfRule type="expression" dxfId="2" priority="8720">
      <formula>S30="病"</formula>
    </cfRule>
    <cfRule type="expression" dxfId="3" priority="8719">
      <formula>S30="事"</formula>
    </cfRule>
    <cfRule type="expression" dxfId="4" priority="8718">
      <formula>S30="年"</formula>
    </cfRule>
    <cfRule type="expression" dxfId="5" priority="8717">
      <formula>S30="探"</formula>
    </cfRule>
  </conditionalFormatting>
  <conditionalFormatting sqref="T30">
    <cfRule type="expression" dxfId="2" priority="4444">
      <formula>T30="病"</formula>
    </cfRule>
    <cfRule type="expression" dxfId="3" priority="4443">
      <formula>T30="事"</formula>
    </cfRule>
    <cfRule type="expression" dxfId="4" priority="4442">
      <formula>T30="年"</formula>
    </cfRule>
    <cfRule type="expression" dxfId="5" priority="4441">
      <formula>T30="探"</formula>
    </cfRule>
  </conditionalFormatting>
  <conditionalFormatting sqref="U30:V30">
    <cfRule type="expression" dxfId="2" priority="4440">
      <formula>U30="病"</formula>
    </cfRule>
    <cfRule type="expression" dxfId="3" priority="4439">
      <formula>U30="事"</formula>
    </cfRule>
    <cfRule type="expression" dxfId="4" priority="4438">
      <formula>U30="年"</formula>
    </cfRule>
    <cfRule type="expression" dxfId="5" priority="4437">
      <formula>U30="探"</formula>
    </cfRule>
  </conditionalFormatting>
  <conditionalFormatting sqref="W30:X30">
    <cfRule type="expression" dxfId="2" priority="4436">
      <formula>W30="病"</formula>
    </cfRule>
    <cfRule type="expression" dxfId="3" priority="4435">
      <formula>W30="事"</formula>
    </cfRule>
    <cfRule type="expression" dxfId="4" priority="4434">
      <formula>W30="年"</formula>
    </cfRule>
    <cfRule type="expression" dxfId="5" priority="4433">
      <formula>W30="探"</formula>
    </cfRule>
  </conditionalFormatting>
  <conditionalFormatting sqref="Y30:Z30">
    <cfRule type="expression" dxfId="2" priority="2780">
      <formula>Y30="病"</formula>
    </cfRule>
    <cfRule type="expression" dxfId="3" priority="2779">
      <formula>Y30="事"</formula>
    </cfRule>
    <cfRule type="expression" dxfId="4" priority="2778">
      <formula>Y30="年"</formula>
    </cfRule>
    <cfRule type="expression" dxfId="5" priority="2777">
      <formula>Y30="探"</formula>
    </cfRule>
  </conditionalFormatting>
  <conditionalFormatting sqref="AA30:AB30">
    <cfRule type="expression" dxfId="2" priority="2784">
      <formula>AA30="病"</formula>
    </cfRule>
    <cfRule type="expression" dxfId="3" priority="2783">
      <formula>AA30="事"</formula>
    </cfRule>
    <cfRule type="expression" dxfId="4" priority="2782">
      <formula>AA30="年"</formula>
    </cfRule>
    <cfRule type="expression" dxfId="5" priority="2781">
      <formula>AA30="探"</formula>
    </cfRule>
  </conditionalFormatting>
  <conditionalFormatting sqref="AC30">
    <cfRule type="expression" dxfId="2" priority="2776">
      <formula>AC30="病"</formula>
    </cfRule>
    <cfRule type="expression" dxfId="3" priority="2775">
      <formula>AC30="事"</formula>
    </cfRule>
    <cfRule type="expression" dxfId="4" priority="2774">
      <formula>AC30="年"</formula>
    </cfRule>
    <cfRule type="expression" dxfId="5" priority="2773">
      <formula>AC30="探"</formula>
    </cfRule>
  </conditionalFormatting>
  <conditionalFormatting sqref="AD30">
    <cfRule type="expression" dxfId="2" priority="2788">
      <formula>AD30="病"</formula>
    </cfRule>
    <cfRule type="expression" dxfId="3" priority="2787">
      <formula>AD30="事"</formula>
    </cfRule>
    <cfRule type="expression" dxfId="4" priority="2786">
      <formula>AD30="年"</formula>
    </cfRule>
    <cfRule type="expression" dxfId="5" priority="2785">
      <formula>AD30="探"</formula>
    </cfRule>
  </conditionalFormatting>
  <conditionalFormatting sqref="AE30">
    <cfRule type="expression" dxfId="2" priority="8292">
      <formula>AE30="病"</formula>
    </cfRule>
    <cfRule type="expression" dxfId="3" priority="8291">
      <formula>AE30="事"</formula>
    </cfRule>
    <cfRule type="expression" dxfId="4" priority="8290">
      <formula>AE30="年"</formula>
    </cfRule>
    <cfRule type="expression" dxfId="5" priority="8289">
      <formula>AE30="探"</formula>
    </cfRule>
  </conditionalFormatting>
  <conditionalFormatting sqref="AF30">
    <cfRule type="expression" dxfId="2" priority="1064">
      <formula>AF30="病"</formula>
    </cfRule>
    <cfRule type="expression" dxfId="3" priority="1063">
      <formula>AF30="事"</formula>
    </cfRule>
    <cfRule type="expression" dxfId="4" priority="1062">
      <formula>AF30="年"</formula>
    </cfRule>
    <cfRule type="expression" dxfId="5" priority="1061">
      <formula>AF30="探"</formula>
    </cfRule>
  </conditionalFormatting>
  <conditionalFormatting sqref="AG30">
    <cfRule type="expression" dxfId="2" priority="1060">
      <formula>AG30="病"</formula>
    </cfRule>
    <cfRule type="expression" dxfId="3" priority="1059">
      <formula>AG30="事"</formula>
    </cfRule>
    <cfRule type="expression" dxfId="4" priority="1058">
      <formula>AG30="年"</formula>
    </cfRule>
    <cfRule type="expression" dxfId="5" priority="1057">
      <formula>AG30="探"</formula>
    </cfRule>
  </conditionalFormatting>
  <conditionalFormatting sqref="AH30:AI30">
    <cfRule type="expression" dxfId="2" priority="1056">
      <formula>AH30="病"</formula>
    </cfRule>
    <cfRule type="expression" dxfId="3" priority="1055">
      <formula>AH30="事"</formula>
    </cfRule>
    <cfRule type="expression" dxfId="4" priority="1054">
      <formula>AH30="年"</formula>
    </cfRule>
    <cfRule type="expression" dxfId="5" priority="1053">
      <formula>AH30="探"</formula>
    </cfRule>
  </conditionalFormatting>
  <conditionalFormatting sqref="AJ30:AK30">
    <cfRule type="expression" dxfId="2" priority="1052">
      <formula>AJ30="病"</formula>
    </cfRule>
    <cfRule type="expression" dxfId="3" priority="1051">
      <formula>AJ30="事"</formula>
    </cfRule>
    <cfRule type="expression" dxfId="4" priority="1050">
      <formula>AJ30="年"</formula>
    </cfRule>
    <cfRule type="expression" dxfId="5" priority="1049">
      <formula>AJ30="探"</formula>
    </cfRule>
  </conditionalFormatting>
  <conditionalFormatting sqref="K31:L31">
    <cfRule type="expression" dxfId="2" priority="5996">
      <formula>K31="病"</formula>
    </cfRule>
    <cfRule type="expression" dxfId="3" priority="5995">
      <formula>K31="事"</formula>
    </cfRule>
    <cfRule type="expression" dxfId="4" priority="5994">
      <formula>K31="年"</formula>
    </cfRule>
    <cfRule type="expression" dxfId="5" priority="5993">
      <formula>K31="探"</formula>
    </cfRule>
  </conditionalFormatting>
  <conditionalFormatting sqref="M31">
    <cfRule type="expression" dxfId="2" priority="5992">
      <formula>M31="病"</formula>
    </cfRule>
    <cfRule type="expression" dxfId="3" priority="5991">
      <formula>M31="事"</formula>
    </cfRule>
    <cfRule type="expression" dxfId="4" priority="5990">
      <formula>M31="年"</formula>
    </cfRule>
    <cfRule type="expression" dxfId="5" priority="5989">
      <formula>M31="探"</formula>
    </cfRule>
  </conditionalFormatting>
  <conditionalFormatting sqref="N31">
    <cfRule type="expression" dxfId="2" priority="5988">
      <formula>N31="病"</formula>
    </cfRule>
    <cfRule type="expression" dxfId="3" priority="5987">
      <formula>N31="事"</formula>
    </cfRule>
    <cfRule type="expression" dxfId="4" priority="5986">
      <formula>N31="年"</formula>
    </cfRule>
    <cfRule type="expression" dxfId="5" priority="5985">
      <formula>N31="探"</formula>
    </cfRule>
  </conditionalFormatting>
  <conditionalFormatting sqref="O31:P31">
    <cfRule type="expression" dxfId="2" priority="5168">
      <formula>O31="病"</formula>
    </cfRule>
    <cfRule type="expression" dxfId="3" priority="5167">
      <formula>O31="事"</formula>
    </cfRule>
    <cfRule type="expression" dxfId="4" priority="5166">
      <formula>O31="年"</formula>
    </cfRule>
    <cfRule type="expression" dxfId="5" priority="5165">
      <formula>O31="探"</formula>
    </cfRule>
  </conditionalFormatting>
  <conditionalFormatting sqref="Q31">
    <cfRule type="expression" dxfId="2" priority="5164">
      <formula>Q31="病"</formula>
    </cfRule>
    <cfRule type="expression" dxfId="3" priority="5163">
      <formula>Q31="事"</formula>
    </cfRule>
    <cfRule type="expression" dxfId="4" priority="5162">
      <formula>Q31="年"</formula>
    </cfRule>
    <cfRule type="expression" dxfId="5" priority="5161">
      <formula>Q31="探"</formula>
    </cfRule>
  </conditionalFormatting>
  <conditionalFormatting sqref="R31">
    <cfRule type="expression" dxfId="2" priority="5160">
      <formula>R31="病"</formula>
    </cfRule>
    <cfRule type="expression" dxfId="3" priority="5159">
      <formula>R31="事"</formula>
    </cfRule>
    <cfRule type="expression" dxfId="4" priority="5158">
      <formula>R31="年"</formula>
    </cfRule>
    <cfRule type="expression" dxfId="5" priority="5157">
      <formula>R31="探"</formula>
    </cfRule>
  </conditionalFormatting>
  <conditionalFormatting sqref="S31">
    <cfRule type="expression" dxfId="2" priority="8716">
      <formula>S31="病"</formula>
    </cfRule>
    <cfRule type="expression" dxfId="3" priority="8715">
      <formula>S31="事"</formula>
    </cfRule>
    <cfRule type="expression" dxfId="4" priority="8714">
      <formula>S31="年"</formula>
    </cfRule>
    <cfRule type="expression" dxfId="5" priority="8713">
      <formula>S31="探"</formula>
    </cfRule>
  </conditionalFormatting>
  <conditionalFormatting sqref="T31">
    <cfRule type="expression" dxfId="2" priority="4432">
      <formula>T31="病"</formula>
    </cfRule>
    <cfRule type="expression" dxfId="3" priority="4431">
      <formula>T31="事"</formula>
    </cfRule>
    <cfRule type="expression" dxfId="4" priority="4430">
      <formula>T31="年"</formula>
    </cfRule>
    <cfRule type="expression" dxfId="5" priority="4429">
      <formula>T31="探"</formula>
    </cfRule>
  </conditionalFormatting>
  <conditionalFormatting sqref="U31">
    <cfRule type="expression" dxfId="2" priority="4428">
      <formula>U31="病"</formula>
    </cfRule>
    <cfRule type="expression" dxfId="3" priority="4427">
      <formula>U31="事"</formula>
    </cfRule>
    <cfRule type="expression" dxfId="4" priority="4426">
      <formula>U31="年"</formula>
    </cfRule>
    <cfRule type="expression" dxfId="5" priority="4425">
      <formula>U31="探"</formula>
    </cfRule>
  </conditionalFormatting>
  <conditionalFormatting sqref="V31">
    <cfRule type="expression" dxfId="2" priority="4424">
      <formula>V31="病"</formula>
    </cfRule>
    <cfRule type="expression" dxfId="3" priority="4423">
      <formula>V31="事"</formula>
    </cfRule>
    <cfRule type="expression" dxfId="4" priority="4422">
      <formula>V31="年"</formula>
    </cfRule>
    <cfRule type="expression" dxfId="5" priority="4421">
      <formula>V31="探"</formula>
    </cfRule>
  </conditionalFormatting>
  <conditionalFormatting sqref="W31:X31">
    <cfRule type="expression" dxfId="2" priority="4420">
      <formula>W31="病"</formula>
    </cfRule>
    <cfRule type="expression" dxfId="3" priority="4419">
      <formula>W31="事"</formula>
    </cfRule>
    <cfRule type="expression" dxfId="4" priority="4418">
      <formula>W31="年"</formula>
    </cfRule>
    <cfRule type="expression" dxfId="5" priority="4417">
      <formula>W31="探"</formula>
    </cfRule>
  </conditionalFormatting>
  <conditionalFormatting sqref="Y31">
    <cfRule type="expression" dxfId="2" priority="2020">
      <formula>Y31="病"</formula>
    </cfRule>
    <cfRule type="expression" dxfId="3" priority="2019">
      <formula>Y31="事"</formula>
    </cfRule>
    <cfRule type="expression" dxfId="4" priority="2018">
      <formula>Y31="年"</formula>
    </cfRule>
    <cfRule type="expression" dxfId="5" priority="2017">
      <formula>Y31="探"</formula>
    </cfRule>
  </conditionalFormatting>
  <conditionalFormatting sqref="Z31">
    <cfRule type="expression" dxfId="2" priority="2016">
      <formula>Z31="病"</formula>
    </cfRule>
    <cfRule type="expression" dxfId="3" priority="2015">
      <formula>Z31="事"</formula>
    </cfRule>
    <cfRule type="expression" dxfId="4" priority="2014">
      <formula>Z31="年"</formula>
    </cfRule>
    <cfRule type="expression" dxfId="5" priority="2013">
      <formula>Z31="探"</formula>
    </cfRule>
  </conditionalFormatting>
  <conditionalFormatting sqref="AA31">
    <cfRule type="expression" dxfId="2" priority="2024">
      <formula>AA31="病"</formula>
    </cfRule>
    <cfRule type="expression" dxfId="3" priority="2023">
      <formula>AA31="事"</formula>
    </cfRule>
    <cfRule type="expression" dxfId="4" priority="2022">
      <formula>AA31="年"</formula>
    </cfRule>
    <cfRule type="expression" dxfId="5" priority="2021">
      <formula>AA31="探"</formula>
    </cfRule>
  </conditionalFormatting>
  <conditionalFormatting sqref="AB31">
    <cfRule type="expression" dxfId="2" priority="2012">
      <formula>AB31="病"</formula>
    </cfRule>
    <cfRule type="expression" dxfId="3" priority="2011">
      <formula>AB31="事"</formula>
    </cfRule>
    <cfRule type="expression" dxfId="4" priority="2010">
      <formula>AB31="年"</formula>
    </cfRule>
    <cfRule type="expression" dxfId="5" priority="2009">
      <formula>AB31="探"</formula>
    </cfRule>
  </conditionalFormatting>
  <conditionalFormatting sqref="AC31">
    <cfRule type="expression" dxfId="2" priority="2008">
      <formula>AC31="病"</formula>
    </cfRule>
    <cfRule type="expression" dxfId="3" priority="2007">
      <formula>AC31="事"</formula>
    </cfRule>
    <cfRule type="expression" dxfId="4" priority="2006">
      <formula>AC31="年"</formula>
    </cfRule>
    <cfRule type="expression" dxfId="5" priority="2005">
      <formula>AC31="探"</formula>
    </cfRule>
  </conditionalFormatting>
  <conditionalFormatting sqref="AD31">
    <cfRule type="expression" dxfId="2" priority="2004">
      <formula>AD31="病"</formula>
    </cfRule>
    <cfRule type="expression" dxfId="3" priority="2003">
      <formula>AD31="事"</formula>
    </cfRule>
    <cfRule type="expression" dxfId="4" priority="2002">
      <formula>AD31="年"</formula>
    </cfRule>
    <cfRule type="expression" dxfId="5" priority="2001">
      <formula>AD31="探"</formula>
    </cfRule>
  </conditionalFormatting>
  <conditionalFormatting sqref="AE31">
    <cfRule type="expression" dxfId="2" priority="2000">
      <formula>AE31="病"</formula>
    </cfRule>
    <cfRule type="expression" dxfId="3" priority="1999">
      <formula>AE31="事"</formula>
    </cfRule>
    <cfRule type="expression" dxfId="4" priority="1998">
      <formula>AE31="年"</formula>
    </cfRule>
    <cfRule type="expression" dxfId="5" priority="1997">
      <formula>AE31="探"</formula>
    </cfRule>
  </conditionalFormatting>
  <conditionalFormatting sqref="AF31">
    <cfRule type="expression" dxfId="2" priority="1044">
      <formula>AF31="病"</formula>
    </cfRule>
    <cfRule type="expression" dxfId="3" priority="1043">
      <formula>AF31="事"</formula>
    </cfRule>
    <cfRule type="expression" dxfId="4" priority="1042">
      <formula>AF31="年"</formula>
    </cfRule>
    <cfRule type="expression" dxfId="5" priority="1041">
      <formula>AF31="探"</formula>
    </cfRule>
  </conditionalFormatting>
  <conditionalFormatting sqref="AG31">
    <cfRule type="expression" dxfId="2" priority="1040">
      <formula>AG31="病"</formula>
    </cfRule>
    <cfRule type="expression" dxfId="3" priority="1039">
      <formula>AG31="事"</formula>
    </cfRule>
    <cfRule type="expression" dxfId="4" priority="1038">
      <formula>AG31="年"</formula>
    </cfRule>
    <cfRule type="expression" dxfId="5" priority="1037">
      <formula>AG31="探"</formula>
    </cfRule>
  </conditionalFormatting>
  <conditionalFormatting sqref="AH31">
    <cfRule type="expression" dxfId="2" priority="1036">
      <formula>AH31="病"</formula>
    </cfRule>
    <cfRule type="expression" dxfId="3" priority="1035">
      <formula>AH31="事"</formula>
    </cfRule>
    <cfRule type="expression" dxfId="4" priority="1034">
      <formula>AH31="年"</formula>
    </cfRule>
    <cfRule type="expression" dxfId="5" priority="1033">
      <formula>AH31="探"</formula>
    </cfRule>
  </conditionalFormatting>
  <conditionalFormatting sqref="AI31:AJ31">
    <cfRule type="expression" dxfId="2" priority="1032">
      <formula>AI31="病"</formula>
    </cfRule>
    <cfRule type="expression" dxfId="3" priority="1031">
      <formula>AI31="事"</formula>
    </cfRule>
    <cfRule type="expression" dxfId="4" priority="1030">
      <formula>AI31="年"</formula>
    </cfRule>
    <cfRule type="expression" dxfId="5" priority="1029">
      <formula>AI31="探"</formula>
    </cfRule>
  </conditionalFormatting>
  <conditionalFormatting sqref="AK31">
    <cfRule type="expression" dxfId="2" priority="1028">
      <formula>AK31="病"</formula>
    </cfRule>
    <cfRule type="expression" dxfId="3" priority="1027">
      <formula>AK31="事"</formula>
    </cfRule>
    <cfRule type="expression" dxfId="4" priority="1026">
      <formula>AK31="年"</formula>
    </cfRule>
    <cfRule type="expression" dxfId="5" priority="1025">
      <formula>AK31="探"</formula>
    </cfRule>
  </conditionalFormatting>
  <conditionalFormatting sqref="O32:P32">
    <cfRule type="expression" dxfId="2" priority="8708">
      <formula>O32="病"</formula>
    </cfRule>
    <cfRule type="expression" dxfId="3" priority="8707">
      <formula>O32="事"</formula>
    </cfRule>
    <cfRule type="expression" dxfId="4" priority="8706">
      <formula>O32="年"</formula>
    </cfRule>
    <cfRule type="expression" dxfId="5" priority="8705">
      <formula>O32="探"</formula>
    </cfRule>
  </conditionalFormatting>
  <conditionalFormatting sqref="Q32:R32">
    <cfRule type="expression" dxfId="2" priority="8712">
      <formula>Q32="病"</formula>
    </cfRule>
    <cfRule type="expression" dxfId="3" priority="8711">
      <formula>Q32="事"</formula>
    </cfRule>
    <cfRule type="expression" dxfId="4" priority="8710">
      <formula>Q32="年"</formula>
    </cfRule>
    <cfRule type="expression" dxfId="5" priority="8709">
      <formula>Q32="探"</formula>
    </cfRule>
  </conditionalFormatting>
  <conditionalFormatting sqref="S32">
    <cfRule type="expression" dxfId="2" priority="8704">
      <formula>S32="病"</formula>
    </cfRule>
    <cfRule type="expression" dxfId="3" priority="8703">
      <formula>S32="事"</formula>
    </cfRule>
    <cfRule type="expression" dxfId="4" priority="8702">
      <formula>S32="年"</formula>
    </cfRule>
    <cfRule type="expression" dxfId="5" priority="8701">
      <formula>S32="探"</formula>
    </cfRule>
  </conditionalFormatting>
  <conditionalFormatting sqref="T32">
    <cfRule type="expression" dxfId="2" priority="4412">
      <formula>T32="病"</formula>
    </cfRule>
    <cfRule type="expression" dxfId="3" priority="4411">
      <formula>T32="事"</formula>
    </cfRule>
    <cfRule type="expression" dxfId="4" priority="4410">
      <formula>T32="年"</formula>
    </cfRule>
    <cfRule type="expression" dxfId="5" priority="4409">
      <formula>T32="探"</formula>
    </cfRule>
  </conditionalFormatting>
  <conditionalFormatting sqref="U32:V32">
    <cfRule type="expression" dxfId="2" priority="4408">
      <formula>U32="病"</formula>
    </cfRule>
    <cfRule type="expression" dxfId="3" priority="4407">
      <formula>U32="事"</formula>
    </cfRule>
    <cfRule type="expression" dxfId="4" priority="4406">
      <formula>U32="年"</formula>
    </cfRule>
    <cfRule type="expression" dxfId="5" priority="4405">
      <formula>U32="探"</formula>
    </cfRule>
  </conditionalFormatting>
  <conditionalFormatting sqref="W32">
    <cfRule type="expression" dxfId="2" priority="4416">
      <formula>W32="病"</formula>
    </cfRule>
    <cfRule type="expression" dxfId="3" priority="4415">
      <formula>W32="事"</formula>
    </cfRule>
    <cfRule type="expression" dxfId="4" priority="4414">
      <formula>W32="年"</formula>
    </cfRule>
    <cfRule type="expression" dxfId="5" priority="4413">
      <formula>W32="探"</formula>
    </cfRule>
  </conditionalFormatting>
  <conditionalFormatting sqref="X32">
    <cfRule type="expression" dxfId="2" priority="4404">
      <formula>X32="病"</formula>
    </cfRule>
    <cfRule type="expression" dxfId="3" priority="4403">
      <formula>X32="事"</formula>
    </cfRule>
    <cfRule type="expression" dxfId="4" priority="4402">
      <formula>X32="年"</formula>
    </cfRule>
    <cfRule type="expression" dxfId="5" priority="4401">
      <formula>X32="探"</formula>
    </cfRule>
  </conditionalFormatting>
  <conditionalFormatting sqref="Y32:Z32">
    <cfRule type="expression" dxfId="2" priority="2756">
      <formula>Y32="病"</formula>
    </cfRule>
    <cfRule type="expression" dxfId="3" priority="2755">
      <formula>Y32="事"</formula>
    </cfRule>
    <cfRule type="expression" dxfId="4" priority="2754">
      <formula>Y32="年"</formula>
    </cfRule>
    <cfRule type="expression" dxfId="5" priority="2753">
      <formula>Y32="探"</formula>
    </cfRule>
  </conditionalFormatting>
  <conditionalFormatting sqref="AA32">
    <cfRule type="expression" dxfId="2" priority="2752">
      <formula>AA32="病"</formula>
    </cfRule>
    <cfRule type="expression" dxfId="3" priority="2751">
      <formula>AA32="事"</formula>
    </cfRule>
    <cfRule type="expression" dxfId="4" priority="2750">
      <formula>AA32="年"</formula>
    </cfRule>
    <cfRule type="expression" dxfId="5" priority="2749">
      <formula>AA32="探"</formula>
    </cfRule>
  </conditionalFormatting>
  <conditionalFormatting sqref="AB32">
    <cfRule type="expression" dxfId="2" priority="2748">
      <formula>AB32="病"</formula>
    </cfRule>
    <cfRule type="expression" dxfId="3" priority="2747">
      <formula>AB32="事"</formula>
    </cfRule>
    <cfRule type="expression" dxfId="4" priority="2746">
      <formula>AB32="年"</formula>
    </cfRule>
    <cfRule type="expression" dxfId="5" priority="2745">
      <formula>AB32="探"</formula>
    </cfRule>
  </conditionalFormatting>
  <conditionalFormatting sqref="AC32:AD32">
    <cfRule type="expression" dxfId="2" priority="8284">
      <formula>AC32="病"</formula>
    </cfRule>
    <cfRule type="expression" dxfId="3" priority="8283">
      <formula>AC32="事"</formula>
    </cfRule>
    <cfRule type="expression" dxfId="4" priority="8282">
      <formula>AC32="年"</formula>
    </cfRule>
    <cfRule type="expression" dxfId="5" priority="8281">
      <formula>AC32="探"</formula>
    </cfRule>
  </conditionalFormatting>
  <conditionalFormatting sqref="AE32:AF32">
    <cfRule type="expression" dxfId="2" priority="1016">
      <formula>AE32="病"</formula>
    </cfRule>
    <cfRule type="expression" dxfId="3" priority="1015">
      <formula>AE32="事"</formula>
    </cfRule>
    <cfRule type="expression" dxfId="4" priority="1014">
      <formula>AE32="年"</formula>
    </cfRule>
    <cfRule type="expression" dxfId="5" priority="1013">
      <formula>AE32="探"</formula>
    </cfRule>
  </conditionalFormatting>
  <conditionalFormatting sqref="AG32:AH32">
    <cfRule type="expression" dxfId="2" priority="1020">
      <formula>AG32="病"</formula>
    </cfRule>
    <cfRule type="expression" dxfId="3" priority="1019">
      <formula>AG32="事"</formula>
    </cfRule>
    <cfRule type="expression" dxfId="4" priority="1018">
      <formula>AG32="年"</formula>
    </cfRule>
    <cfRule type="expression" dxfId="5" priority="1017">
      <formula>AG32="探"</formula>
    </cfRule>
  </conditionalFormatting>
  <conditionalFormatting sqref="AI32:AJ32">
    <cfRule type="expression" dxfId="2" priority="996">
      <formula>AI32="病"</formula>
    </cfRule>
    <cfRule type="expression" dxfId="3" priority="995">
      <formula>AI32="事"</formula>
    </cfRule>
    <cfRule type="expression" dxfId="4" priority="994">
      <formula>AI32="年"</formula>
    </cfRule>
    <cfRule type="expression" dxfId="5" priority="993">
      <formula>AI32="探"</formula>
    </cfRule>
  </conditionalFormatting>
  <conditionalFormatting sqref="AK32">
    <cfRule type="expression" dxfId="2" priority="1000">
      <formula>AK32="病"</formula>
    </cfRule>
    <cfRule type="expression" dxfId="3" priority="999">
      <formula>AK32="事"</formula>
    </cfRule>
    <cfRule type="expression" dxfId="4" priority="998">
      <formula>AK32="年"</formula>
    </cfRule>
    <cfRule type="expression" dxfId="5" priority="997">
      <formula>AK32="探"</formula>
    </cfRule>
  </conditionalFormatting>
  <conditionalFormatting sqref="G33:H33">
    <cfRule type="expression" dxfId="2" priority="9040">
      <formula>G33="病"</formula>
    </cfRule>
    <cfRule type="expression" dxfId="3" priority="9039">
      <formula>G33="事"</formula>
    </cfRule>
    <cfRule type="expression" dxfId="4" priority="9038">
      <formula>G33="年"</formula>
    </cfRule>
    <cfRule type="expression" dxfId="5" priority="9037">
      <formula>G33="探"</formula>
    </cfRule>
  </conditionalFormatting>
  <conditionalFormatting sqref="I33:J33">
    <cfRule type="expression" dxfId="2" priority="9044">
      <formula>I33="病"</formula>
    </cfRule>
    <cfRule type="expression" dxfId="3" priority="9043">
      <formula>I33="事"</formula>
    </cfRule>
    <cfRule type="expression" dxfId="4" priority="9042">
      <formula>I33="年"</formula>
    </cfRule>
    <cfRule type="expression" dxfId="5" priority="9041">
      <formula>I33="探"</formula>
    </cfRule>
  </conditionalFormatting>
  <conditionalFormatting sqref="M33:U33">
    <cfRule type="expression" dxfId="2" priority="8700">
      <formula>M33="病"</formula>
    </cfRule>
    <cfRule type="expression" dxfId="3" priority="8699">
      <formula>M33="事"</formula>
    </cfRule>
    <cfRule type="expression" dxfId="4" priority="8698">
      <formula>M33="年"</formula>
    </cfRule>
    <cfRule type="expression" dxfId="5" priority="8697">
      <formula>M33="探"</formula>
    </cfRule>
  </conditionalFormatting>
  <conditionalFormatting sqref="V33">
    <cfRule type="expression" dxfId="2" priority="8460">
      <formula>V33="病"</formula>
    </cfRule>
    <cfRule type="expression" dxfId="3" priority="8459">
      <formula>V33="事"</formula>
    </cfRule>
    <cfRule type="expression" dxfId="4" priority="8458">
      <formula>V33="年"</formula>
    </cfRule>
    <cfRule type="expression" dxfId="5" priority="8457">
      <formula>V33="探"</formula>
    </cfRule>
  </conditionalFormatting>
  <conditionalFormatting sqref="W33:X33">
    <cfRule type="expression" dxfId="2" priority="8456">
      <formula>W33="病"</formula>
    </cfRule>
    <cfRule type="expression" dxfId="3" priority="8455">
      <formula>W33="事"</formula>
    </cfRule>
    <cfRule type="expression" dxfId="4" priority="8454">
      <formula>W33="年"</formula>
    </cfRule>
    <cfRule type="expression" dxfId="5" priority="8453">
      <formula>W33="探"</formula>
    </cfRule>
  </conditionalFormatting>
  <conditionalFormatting sqref="Y33">
    <cfRule type="expression" dxfId="2" priority="8280">
      <formula>Y33="病"</formula>
    </cfRule>
    <cfRule type="expression" dxfId="3" priority="8279">
      <formula>Y33="事"</formula>
    </cfRule>
    <cfRule type="expression" dxfId="4" priority="8278">
      <formula>Y33="年"</formula>
    </cfRule>
    <cfRule type="expression" dxfId="5" priority="8277">
      <formula>Y33="探"</formula>
    </cfRule>
  </conditionalFormatting>
  <conditionalFormatting sqref="Z33:AA33">
    <cfRule type="expression" dxfId="2" priority="2744">
      <formula>Z33="病"</formula>
    </cfRule>
    <cfRule type="expression" dxfId="3" priority="2743">
      <formula>Z33="事"</formula>
    </cfRule>
    <cfRule type="expression" dxfId="4" priority="2742">
      <formula>Z33="年"</formula>
    </cfRule>
    <cfRule type="expression" dxfId="5" priority="2741">
      <formula>Z33="探"</formula>
    </cfRule>
  </conditionalFormatting>
  <conditionalFormatting sqref="AB33">
    <cfRule type="expression" dxfId="2" priority="2740">
      <formula>AB33="病"</formula>
    </cfRule>
    <cfRule type="expression" dxfId="3" priority="2739">
      <formula>AB33="事"</formula>
    </cfRule>
    <cfRule type="expression" dxfId="4" priority="2738">
      <formula>AB33="年"</formula>
    </cfRule>
    <cfRule type="expression" dxfId="5" priority="2737">
      <formula>AB33="探"</formula>
    </cfRule>
  </conditionalFormatting>
  <conditionalFormatting sqref="AC33:AD33">
    <cfRule type="expression" dxfId="2" priority="2736">
      <formula>AC33="病"</formula>
    </cfRule>
    <cfRule type="expression" dxfId="3" priority="2735">
      <formula>AC33="事"</formula>
    </cfRule>
    <cfRule type="expression" dxfId="4" priority="2734">
      <formula>AC33="年"</formula>
    </cfRule>
    <cfRule type="expression" dxfId="5" priority="2733">
      <formula>AC33="探"</formula>
    </cfRule>
  </conditionalFormatting>
  <conditionalFormatting sqref="AE33:AG33">
    <cfRule type="expression" dxfId="2" priority="992">
      <formula>AE33="病"</formula>
    </cfRule>
    <cfRule type="expression" dxfId="3" priority="991">
      <formula>AE33="事"</formula>
    </cfRule>
    <cfRule type="expression" dxfId="4" priority="990">
      <formula>AE33="年"</formula>
    </cfRule>
    <cfRule type="expression" dxfId="5" priority="989">
      <formula>AE33="探"</formula>
    </cfRule>
  </conditionalFormatting>
  <conditionalFormatting sqref="AH33">
    <cfRule type="expression" dxfId="2" priority="988">
      <formula>AH33="病"</formula>
    </cfRule>
    <cfRule type="expression" dxfId="3" priority="987">
      <formula>AH33="事"</formula>
    </cfRule>
    <cfRule type="expression" dxfId="4" priority="986">
      <formula>AH33="年"</formula>
    </cfRule>
    <cfRule type="expression" dxfId="5" priority="985">
      <formula>AH33="探"</formula>
    </cfRule>
  </conditionalFormatting>
  <conditionalFormatting sqref="AI33:AJ33">
    <cfRule type="expression" dxfId="2" priority="984">
      <formula>AI33="病"</formula>
    </cfRule>
    <cfRule type="expression" dxfId="3" priority="983">
      <formula>AI33="事"</formula>
    </cfRule>
    <cfRule type="expression" dxfId="4" priority="982">
      <formula>AI33="年"</formula>
    </cfRule>
    <cfRule type="expression" dxfId="5" priority="981">
      <formula>AI33="探"</formula>
    </cfRule>
  </conditionalFormatting>
  <conditionalFormatting sqref="H34:I34">
    <cfRule type="expression" dxfId="2" priority="9032">
      <formula>H34="病"</formula>
    </cfRule>
    <cfRule type="expression" dxfId="3" priority="9031">
      <formula>H34="事"</formula>
    </cfRule>
    <cfRule type="expression" dxfId="4" priority="9030">
      <formula>H34="年"</formula>
    </cfRule>
    <cfRule type="expression" dxfId="5" priority="9029">
      <formula>H34="探"</formula>
    </cfRule>
  </conditionalFormatting>
  <conditionalFormatting sqref="J34">
    <cfRule type="expression" dxfId="2" priority="9036">
      <formula>J34="病"</formula>
    </cfRule>
    <cfRule type="expression" dxfId="3" priority="9035">
      <formula>J34="事"</formula>
    </cfRule>
    <cfRule type="expression" dxfId="4" priority="9034">
      <formula>J34="年"</formula>
    </cfRule>
    <cfRule type="expression" dxfId="5" priority="9033">
      <formula>J34="探"</formula>
    </cfRule>
  </conditionalFormatting>
  <conditionalFormatting sqref="L34:M34">
    <cfRule type="expression" dxfId="2" priority="5980">
      <formula>L34="病"</formula>
    </cfRule>
    <cfRule type="expression" dxfId="3" priority="5979">
      <formula>L34="事"</formula>
    </cfRule>
    <cfRule type="expression" dxfId="4" priority="5978">
      <formula>L34="年"</formula>
    </cfRule>
    <cfRule type="expression" dxfId="5" priority="5977">
      <formula>L34="探"</formula>
    </cfRule>
  </conditionalFormatting>
  <conditionalFormatting sqref="N34">
    <cfRule type="expression" dxfId="2" priority="5984">
      <formula>N34="病"</formula>
    </cfRule>
    <cfRule type="expression" dxfId="3" priority="5983">
      <formula>N34="事"</formula>
    </cfRule>
    <cfRule type="expression" dxfId="4" priority="5982">
      <formula>N34="年"</formula>
    </cfRule>
    <cfRule type="expression" dxfId="5" priority="5981">
      <formula>N34="探"</formula>
    </cfRule>
  </conditionalFormatting>
  <conditionalFormatting sqref="O34">
    <cfRule type="expression" dxfId="2" priority="5156">
      <formula>O34="病"</formula>
    </cfRule>
    <cfRule type="expression" dxfId="3" priority="5155">
      <formula>O34="事"</formula>
    </cfRule>
    <cfRule type="expression" dxfId="4" priority="5154">
      <formula>O34="年"</formula>
    </cfRule>
    <cfRule type="expression" dxfId="5" priority="5153">
      <formula>O34="探"</formula>
    </cfRule>
  </conditionalFormatting>
  <conditionalFormatting sqref="P34:Q34">
    <cfRule type="expression" dxfId="2" priority="5148">
      <formula>P34="病"</formula>
    </cfRule>
    <cfRule type="expression" dxfId="3" priority="5147">
      <formula>P34="事"</formula>
    </cfRule>
    <cfRule type="expression" dxfId="4" priority="5146">
      <formula>P34="年"</formula>
    </cfRule>
    <cfRule type="expression" dxfId="5" priority="5145">
      <formula>P34="探"</formula>
    </cfRule>
  </conditionalFormatting>
  <conditionalFormatting sqref="R34">
    <cfRule type="expression" dxfId="2" priority="5152">
      <formula>R34="病"</formula>
    </cfRule>
    <cfRule type="expression" dxfId="3" priority="5151">
      <formula>R34="事"</formula>
    </cfRule>
    <cfRule type="expression" dxfId="4" priority="5150">
      <formula>R34="年"</formula>
    </cfRule>
    <cfRule type="expression" dxfId="5" priority="5149">
      <formula>R34="探"</formula>
    </cfRule>
  </conditionalFormatting>
  <conditionalFormatting sqref="S34">
    <cfRule type="expression" dxfId="2" priority="8696">
      <formula>S34="病"</formula>
    </cfRule>
    <cfRule type="expression" dxfId="3" priority="8695">
      <formula>S34="事"</formula>
    </cfRule>
    <cfRule type="expression" dxfId="4" priority="8694">
      <formula>S34="年"</formula>
    </cfRule>
    <cfRule type="expression" dxfId="5" priority="8693">
      <formula>S34="探"</formula>
    </cfRule>
  </conditionalFormatting>
  <conditionalFormatting sqref="T34:U34">
    <cfRule type="expression" dxfId="2" priority="4396">
      <formula>T34="病"</formula>
    </cfRule>
    <cfRule type="expression" dxfId="3" priority="4395">
      <formula>T34="事"</formula>
    </cfRule>
    <cfRule type="expression" dxfId="4" priority="4394">
      <formula>T34="年"</formula>
    </cfRule>
    <cfRule type="expression" dxfId="5" priority="4393">
      <formula>T34="探"</formula>
    </cfRule>
  </conditionalFormatting>
  <conditionalFormatting sqref="V34">
    <cfRule type="expression" dxfId="2" priority="4400">
      <formula>V34="病"</formula>
    </cfRule>
    <cfRule type="expression" dxfId="3" priority="4399">
      <formula>V34="事"</formula>
    </cfRule>
    <cfRule type="expression" dxfId="4" priority="4398">
      <formula>V34="年"</formula>
    </cfRule>
    <cfRule type="expression" dxfId="5" priority="4397">
      <formula>V34="探"</formula>
    </cfRule>
  </conditionalFormatting>
  <conditionalFormatting sqref="W34">
    <cfRule type="expression" dxfId="2" priority="4392">
      <formula>W34="病"</formula>
    </cfRule>
    <cfRule type="expression" dxfId="3" priority="4391">
      <formula>W34="事"</formula>
    </cfRule>
    <cfRule type="expression" dxfId="4" priority="4390">
      <formula>W34="年"</formula>
    </cfRule>
    <cfRule type="expression" dxfId="5" priority="4389">
      <formula>W34="探"</formula>
    </cfRule>
  </conditionalFormatting>
  <conditionalFormatting sqref="X34">
    <cfRule type="expression" dxfId="2" priority="4388">
      <formula>X34="病"</formula>
    </cfRule>
    <cfRule type="expression" dxfId="3" priority="4387">
      <formula>X34="事"</formula>
    </cfRule>
    <cfRule type="expression" dxfId="4" priority="4386">
      <formula>X34="年"</formula>
    </cfRule>
    <cfRule type="expression" dxfId="5" priority="4385">
      <formula>X34="探"</formula>
    </cfRule>
  </conditionalFormatting>
  <conditionalFormatting sqref="Y34:AD34">
    <cfRule type="expression" dxfId="2" priority="8268">
      <formula>Y34="病"</formula>
    </cfRule>
    <cfRule type="expression" dxfId="3" priority="8267">
      <formula>Y34="事"</formula>
    </cfRule>
    <cfRule type="expression" dxfId="4" priority="8266">
      <formula>Y34="年"</formula>
    </cfRule>
    <cfRule type="expression" dxfId="5" priority="8265">
      <formula>Y34="探"</formula>
    </cfRule>
  </conditionalFormatting>
  <conditionalFormatting sqref="AE34">
    <cfRule type="expression" dxfId="2" priority="976">
      <formula>AE34="病"</formula>
    </cfRule>
    <cfRule type="expression" dxfId="3" priority="975">
      <formula>AE34="事"</formula>
    </cfRule>
    <cfRule type="expression" dxfId="4" priority="974">
      <formula>AE34="年"</formula>
    </cfRule>
    <cfRule type="expression" dxfId="5" priority="973">
      <formula>AE34="探"</formula>
    </cfRule>
  </conditionalFormatting>
  <conditionalFormatting sqref="AF34:AG34">
    <cfRule type="expression" dxfId="2" priority="968">
      <formula>AF34="病"</formula>
    </cfRule>
    <cfRule type="expression" dxfId="3" priority="967">
      <formula>AF34="事"</formula>
    </cfRule>
    <cfRule type="expression" dxfId="4" priority="966">
      <formula>AF34="年"</formula>
    </cfRule>
    <cfRule type="expression" dxfId="5" priority="965">
      <formula>AF34="探"</formula>
    </cfRule>
  </conditionalFormatting>
  <conditionalFormatting sqref="AH34">
    <cfRule type="expression" dxfId="2" priority="972">
      <formula>AH34="病"</formula>
    </cfRule>
    <cfRule type="expression" dxfId="3" priority="971">
      <formula>AH34="事"</formula>
    </cfRule>
    <cfRule type="expression" dxfId="4" priority="970">
      <formula>AH34="年"</formula>
    </cfRule>
    <cfRule type="expression" dxfId="5" priority="969">
      <formula>AH34="探"</formula>
    </cfRule>
  </conditionalFormatting>
  <conditionalFormatting sqref="AI34">
    <cfRule type="expression" dxfId="2" priority="980">
      <formula>AI34="病"</formula>
    </cfRule>
    <cfRule type="expression" dxfId="3" priority="979">
      <formula>AI34="事"</formula>
    </cfRule>
    <cfRule type="expression" dxfId="4" priority="978">
      <formula>AI34="年"</formula>
    </cfRule>
    <cfRule type="expression" dxfId="5" priority="977">
      <formula>AI34="探"</formula>
    </cfRule>
  </conditionalFormatting>
  <conditionalFormatting sqref="AJ34:AK34">
    <cfRule type="expression" dxfId="2" priority="964">
      <formula>AJ34="病"</formula>
    </cfRule>
    <cfRule type="expression" dxfId="3" priority="963">
      <formula>AJ34="事"</formula>
    </cfRule>
    <cfRule type="expression" dxfId="4" priority="962">
      <formula>AJ34="年"</formula>
    </cfRule>
    <cfRule type="expression" dxfId="5" priority="961">
      <formula>AJ34="探"</formula>
    </cfRule>
  </conditionalFormatting>
  <conditionalFormatting sqref="G35">
    <cfRule type="expression" dxfId="2" priority="8820">
      <formula>G35="病"</formula>
    </cfRule>
    <cfRule type="expression" dxfId="3" priority="8819">
      <formula>G35="事"</formula>
    </cfRule>
    <cfRule type="expression" dxfId="4" priority="8818">
      <formula>G35="年"</formula>
    </cfRule>
    <cfRule type="expression" dxfId="5" priority="8817">
      <formula>G35="探"</formula>
    </cfRule>
  </conditionalFormatting>
  <conditionalFormatting sqref="H35:I35">
    <cfRule type="expression" dxfId="2" priority="8440">
      <formula>H35="病"</formula>
    </cfRule>
    <cfRule type="expression" dxfId="3" priority="8439">
      <formula>H35="事"</formula>
    </cfRule>
    <cfRule type="expression" dxfId="4" priority="8438">
      <formula>H35="年"</formula>
    </cfRule>
    <cfRule type="expression" dxfId="5" priority="8437">
      <formula>H35="探"</formula>
    </cfRule>
  </conditionalFormatting>
  <conditionalFormatting sqref="J35">
    <cfRule type="expression" dxfId="2" priority="8444">
      <formula>J35="病"</formula>
    </cfRule>
    <cfRule type="expression" dxfId="3" priority="8443">
      <formula>J35="事"</formula>
    </cfRule>
    <cfRule type="expression" dxfId="4" priority="8442">
      <formula>J35="年"</formula>
    </cfRule>
    <cfRule type="expression" dxfId="5" priority="8441">
      <formula>J35="探"</formula>
    </cfRule>
  </conditionalFormatting>
  <conditionalFormatting sqref="K35:L35">
    <cfRule type="expression" dxfId="2" priority="5972">
      <formula>K35="病"</formula>
    </cfRule>
    <cfRule type="expression" dxfId="3" priority="5971">
      <formula>K35="事"</formula>
    </cfRule>
    <cfRule type="expression" dxfId="4" priority="5970">
      <formula>K35="年"</formula>
    </cfRule>
    <cfRule type="expression" dxfId="5" priority="5969">
      <formula>K35="探"</formula>
    </cfRule>
  </conditionalFormatting>
  <conditionalFormatting sqref="M35">
    <cfRule type="expression" dxfId="2" priority="5976">
      <formula>M35="病"</formula>
    </cfRule>
    <cfRule type="expression" dxfId="3" priority="5975">
      <formula>M35="事"</formula>
    </cfRule>
    <cfRule type="expression" dxfId="4" priority="5974">
      <formula>M35="年"</formula>
    </cfRule>
    <cfRule type="expression" dxfId="5" priority="5973">
      <formula>M35="探"</formula>
    </cfRule>
  </conditionalFormatting>
  <conditionalFormatting sqref="N35">
    <cfRule type="expression" dxfId="2" priority="5944">
      <formula>N35="病"</formula>
    </cfRule>
    <cfRule type="expression" dxfId="3" priority="5943">
      <formula>N35="事"</formula>
    </cfRule>
    <cfRule type="expression" dxfId="4" priority="5942">
      <formula>N35="年"</formula>
    </cfRule>
    <cfRule type="expression" dxfId="5" priority="5941">
      <formula>N35="探"</formula>
    </cfRule>
  </conditionalFormatting>
  <conditionalFormatting sqref="O35">
    <cfRule type="expression" dxfId="2" priority="8448">
      <formula>O35="病"</formula>
    </cfRule>
    <cfRule type="expression" dxfId="3" priority="8447">
      <formula>O35="事"</formula>
    </cfRule>
    <cfRule type="expression" dxfId="4" priority="8446">
      <formula>O35="年"</formula>
    </cfRule>
    <cfRule type="expression" dxfId="5" priority="8445">
      <formula>O35="探"</formula>
    </cfRule>
  </conditionalFormatting>
  <conditionalFormatting sqref="P35">
    <cfRule type="expression" dxfId="2" priority="8452">
      <formula>P35="病"</formula>
    </cfRule>
    <cfRule type="expression" dxfId="3" priority="8451">
      <formula>P35="事"</formula>
    </cfRule>
    <cfRule type="expression" dxfId="4" priority="8450">
      <formula>P35="年"</formula>
    </cfRule>
    <cfRule type="expression" dxfId="5" priority="8449">
      <formula>P35="探"</formula>
    </cfRule>
  </conditionalFormatting>
  <conditionalFormatting sqref="Q35">
    <cfRule type="expression" dxfId="2" priority="5136">
      <formula>Q35="病"</formula>
    </cfRule>
    <cfRule type="expression" dxfId="3" priority="5135">
      <formula>Q35="事"</formula>
    </cfRule>
    <cfRule type="expression" dxfId="4" priority="5134">
      <formula>Q35="年"</formula>
    </cfRule>
    <cfRule type="expression" dxfId="5" priority="5133">
      <formula>Q35="探"</formula>
    </cfRule>
  </conditionalFormatting>
  <conditionalFormatting sqref="R35">
    <cfRule type="expression" dxfId="2" priority="5140">
      <formula>R35="病"</formula>
    </cfRule>
    <cfRule type="expression" dxfId="3" priority="5139">
      <formula>R35="事"</formula>
    </cfRule>
    <cfRule type="expression" dxfId="4" priority="5138">
      <formula>R35="年"</formula>
    </cfRule>
    <cfRule type="expression" dxfId="5" priority="5137">
      <formula>R35="探"</formula>
    </cfRule>
  </conditionalFormatting>
  <conditionalFormatting sqref="S35">
    <cfRule type="expression" dxfId="2" priority="5144">
      <formula>S35="病"</formula>
    </cfRule>
    <cfRule type="expression" dxfId="3" priority="5143">
      <formula>S35="事"</formula>
    </cfRule>
    <cfRule type="expression" dxfId="4" priority="5142">
      <formula>S35="年"</formula>
    </cfRule>
    <cfRule type="expression" dxfId="5" priority="5141">
      <formula>S35="探"</formula>
    </cfRule>
  </conditionalFormatting>
  <conditionalFormatting sqref="T35">
    <cfRule type="expression" dxfId="2" priority="4376">
      <formula>T35="病"</formula>
    </cfRule>
    <cfRule type="expression" dxfId="3" priority="4375">
      <formula>T35="事"</formula>
    </cfRule>
    <cfRule type="expression" dxfId="4" priority="4374">
      <formula>T35="年"</formula>
    </cfRule>
    <cfRule type="expression" dxfId="5" priority="4373">
      <formula>T35="探"</formula>
    </cfRule>
  </conditionalFormatting>
  <conditionalFormatting sqref="U35">
    <cfRule type="expression" dxfId="2" priority="4380">
      <formula>U35="病"</formula>
    </cfRule>
    <cfRule type="expression" dxfId="3" priority="4379">
      <formula>U35="事"</formula>
    </cfRule>
    <cfRule type="expression" dxfId="4" priority="4378">
      <formula>U35="年"</formula>
    </cfRule>
    <cfRule type="expression" dxfId="5" priority="4377">
      <formula>U35="探"</formula>
    </cfRule>
  </conditionalFormatting>
  <conditionalFormatting sqref="V35">
    <cfRule type="expression" dxfId="2" priority="4384">
      <formula>V35="病"</formula>
    </cfRule>
    <cfRule type="expression" dxfId="3" priority="4383">
      <formula>V35="事"</formula>
    </cfRule>
    <cfRule type="expression" dxfId="4" priority="4382">
      <formula>V35="年"</formula>
    </cfRule>
    <cfRule type="expression" dxfId="5" priority="4381">
      <formula>V35="探"</formula>
    </cfRule>
  </conditionalFormatting>
  <conditionalFormatting sqref="W35">
    <cfRule type="expression" dxfId="2" priority="4364">
      <formula>W35="病"</formula>
    </cfRule>
    <cfRule type="expression" dxfId="3" priority="4363">
      <formula>W35="事"</formula>
    </cfRule>
    <cfRule type="expression" dxfId="4" priority="4362">
      <formula>W35="年"</formula>
    </cfRule>
    <cfRule type="expression" dxfId="5" priority="4361">
      <formula>W35="探"</formula>
    </cfRule>
  </conditionalFormatting>
  <conditionalFormatting sqref="X35">
    <cfRule type="expression" dxfId="2" priority="4368">
      <formula>X35="病"</formula>
    </cfRule>
    <cfRule type="expression" dxfId="3" priority="4367">
      <formula>X35="事"</formula>
    </cfRule>
    <cfRule type="expression" dxfId="4" priority="4366">
      <formula>X35="年"</formula>
    </cfRule>
    <cfRule type="expression" dxfId="5" priority="4365">
      <formula>X35="探"</formula>
    </cfRule>
  </conditionalFormatting>
  <conditionalFormatting sqref="Y35">
    <cfRule type="expression" dxfId="2" priority="4372">
      <formula>Y35="病"</formula>
    </cfRule>
    <cfRule type="expression" dxfId="3" priority="4371">
      <formula>Y35="事"</formula>
    </cfRule>
    <cfRule type="expression" dxfId="4" priority="4370">
      <formula>Y35="年"</formula>
    </cfRule>
    <cfRule type="expression" dxfId="5" priority="4369">
      <formula>Y35="探"</formula>
    </cfRule>
  </conditionalFormatting>
  <conditionalFormatting sqref="K36:L36">
    <cfRule type="expression" dxfId="2" priority="5964">
      <formula>K36="病"</formula>
    </cfRule>
    <cfRule type="expression" dxfId="3" priority="5963">
      <formula>K36="事"</formula>
    </cfRule>
    <cfRule type="expression" dxfId="4" priority="5962">
      <formula>K36="年"</formula>
    </cfRule>
    <cfRule type="expression" dxfId="5" priority="5961">
      <formula>K36="探"</formula>
    </cfRule>
  </conditionalFormatting>
  <conditionalFormatting sqref="M36:N36">
    <cfRule type="expression" dxfId="2" priority="5968">
      <formula>M36="病"</formula>
    </cfRule>
    <cfRule type="expression" dxfId="3" priority="5967">
      <formula>M36="事"</formula>
    </cfRule>
    <cfRule type="expression" dxfId="4" priority="5966">
      <formula>M36="年"</formula>
    </cfRule>
    <cfRule type="expression" dxfId="5" priority="5965">
      <formula>M36="探"</formula>
    </cfRule>
  </conditionalFormatting>
  <conditionalFormatting sqref="O36:P36">
    <cfRule type="expression" dxfId="2" priority="5128">
      <formula>O36="病"</formula>
    </cfRule>
    <cfRule type="expression" dxfId="3" priority="5127">
      <formula>O36="事"</formula>
    </cfRule>
    <cfRule type="expression" dxfId="4" priority="5126">
      <formula>O36="年"</formula>
    </cfRule>
    <cfRule type="expression" dxfId="5" priority="5125">
      <formula>O36="探"</formula>
    </cfRule>
  </conditionalFormatting>
  <conditionalFormatting sqref="Q36:R36">
    <cfRule type="expression" dxfId="2" priority="5132">
      <formula>Q36="病"</formula>
    </cfRule>
    <cfRule type="expression" dxfId="3" priority="5131">
      <formula>Q36="事"</formula>
    </cfRule>
    <cfRule type="expression" dxfId="4" priority="5130">
      <formula>Q36="年"</formula>
    </cfRule>
    <cfRule type="expression" dxfId="5" priority="5129">
      <formula>Q36="探"</formula>
    </cfRule>
  </conditionalFormatting>
  <conditionalFormatting sqref="S36:T36">
    <cfRule type="expression" dxfId="2" priority="8692">
      <formula>S36="病"</formula>
    </cfRule>
    <cfRule type="expression" dxfId="3" priority="8691">
      <formula>S36="事"</formula>
    </cfRule>
    <cfRule type="expression" dxfId="4" priority="8690">
      <formula>S36="年"</formula>
    </cfRule>
    <cfRule type="expression" dxfId="5" priority="8689">
      <formula>S36="探"</formula>
    </cfRule>
  </conditionalFormatting>
  <conditionalFormatting sqref="U36:X36">
    <cfRule type="expression" dxfId="2" priority="8436">
      <formula>U36="病"</formula>
    </cfRule>
    <cfRule type="expression" dxfId="3" priority="8435">
      <formula>U36="事"</formula>
    </cfRule>
    <cfRule type="expression" dxfId="4" priority="8434">
      <formula>U36="年"</formula>
    </cfRule>
    <cfRule type="expression" dxfId="5" priority="8433">
      <formula>U36="探"</formula>
    </cfRule>
  </conditionalFormatting>
  <conditionalFormatting sqref="AA36:AD36">
    <cfRule type="expression" dxfId="2" priority="8260">
      <formula>AA36="病"</formula>
    </cfRule>
    <cfRule type="expression" dxfId="3" priority="8259">
      <formula>AA36="事"</formula>
    </cfRule>
    <cfRule type="expression" dxfId="4" priority="8258">
      <formula>AA36="年"</formula>
    </cfRule>
    <cfRule type="expression" dxfId="5" priority="8257">
      <formula>AA36="探"</formula>
    </cfRule>
  </conditionalFormatting>
  <conditionalFormatting sqref="AF36">
    <cfRule type="expression" dxfId="5" priority="7153">
      <formula>AF36="探"</formula>
    </cfRule>
    <cfRule type="expression" dxfId="4" priority="7154">
      <formula>AF36="年"</formula>
    </cfRule>
    <cfRule type="expression" dxfId="3" priority="7155">
      <formula>AF36="事"</formula>
    </cfRule>
    <cfRule type="expression" dxfId="2" priority="7156">
      <formula>AF36="病"</formula>
    </cfRule>
  </conditionalFormatting>
  <conditionalFormatting sqref="AG36:AH36">
    <cfRule type="expression" dxfId="5" priority="7149">
      <formula>AG36="探"</formula>
    </cfRule>
    <cfRule type="expression" dxfId="4" priority="7150">
      <formula>AG36="年"</formula>
    </cfRule>
    <cfRule type="expression" dxfId="3" priority="7151">
      <formula>AG36="事"</formula>
    </cfRule>
    <cfRule type="expression" dxfId="2" priority="7152">
      <formula>AG36="病"</formula>
    </cfRule>
  </conditionalFormatting>
  <conditionalFormatting sqref="L37:M37">
    <cfRule type="expression" dxfId="5" priority="5949">
      <formula>L37="探"</formula>
    </cfRule>
    <cfRule type="expression" dxfId="4" priority="5950">
      <formula>L37="年"</formula>
    </cfRule>
    <cfRule type="expression" dxfId="3" priority="5951">
      <formula>L37="事"</formula>
    </cfRule>
    <cfRule type="expression" dxfId="2" priority="5952">
      <formula>L37="病"</formula>
    </cfRule>
  </conditionalFormatting>
  <conditionalFormatting sqref="N37">
    <cfRule type="expression" dxfId="5" priority="5945">
      <formula>N37="探"</formula>
    </cfRule>
    <cfRule type="expression" dxfId="4" priority="5946">
      <formula>N37="年"</formula>
    </cfRule>
    <cfRule type="expression" dxfId="3" priority="5947">
      <formula>N37="事"</formula>
    </cfRule>
    <cfRule type="expression" dxfId="2" priority="5948">
      <formula>N37="病"</formula>
    </cfRule>
  </conditionalFormatting>
  <conditionalFormatting sqref="O37:P37">
    <cfRule type="expression" dxfId="5" priority="5121">
      <formula>O37="探"</formula>
    </cfRule>
    <cfRule type="expression" dxfId="4" priority="5122">
      <formula>O37="年"</formula>
    </cfRule>
    <cfRule type="expression" dxfId="3" priority="5123">
      <formula>O37="事"</formula>
    </cfRule>
    <cfRule type="expression" dxfId="2" priority="5124">
      <formula>O37="病"</formula>
    </cfRule>
  </conditionalFormatting>
  <conditionalFormatting sqref="Q37">
    <cfRule type="expression" dxfId="5" priority="5117">
      <formula>Q37="探"</formula>
    </cfRule>
    <cfRule type="expression" dxfId="4" priority="5118">
      <formula>Q37="年"</formula>
    </cfRule>
    <cfRule type="expression" dxfId="3" priority="5119">
      <formula>Q37="事"</formula>
    </cfRule>
    <cfRule type="expression" dxfId="2" priority="5120">
      <formula>Q37="病"</formula>
    </cfRule>
  </conditionalFormatting>
  <conditionalFormatting sqref="R37:S37">
    <cfRule type="expression" dxfId="5" priority="5113">
      <formula>R37="探"</formula>
    </cfRule>
    <cfRule type="expression" dxfId="4" priority="5114">
      <formula>R37="年"</formula>
    </cfRule>
    <cfRule type="expression" dxfId="3" priority="5115">
      <formula>R37="事"</formula>
    </cfRule>
    <cfRule type="expression" dxfId="2" priority="5116">
      <formula>R37="病"</formula>
    </cfRule>
  </conditionalFormatting>
  <conditionalFormatting sqref="T37">
    <cfRule type="expression" dxfId="5" priority="5109">
      <formula>T37="探"</formula>
    </cfRule>
    <cfRule type="expression" dxfId="4" priority="5110">
      <formula>T37="年"</formula>
    </cfRule>
    <cfRule type="expression" dxfId="3" priority="5111">
      <formula>T37="事"</formula>
    </cfRule>
    <cfRule type="expression" dxfId="2" priority="5112">
      <formula>T37="病"</formula>
    </cfRule>
  </conditionalFormatting>
  <conditionalFormatting sqref="AF37">
    <cfRule type="expression" dxfId="2" priority="952">
      <formula>AF37="病"</formula>
    </cfRule>
    <cfRule type="expression" dxfId="3" priority="951">
      <formula>AF37="事"</formula>
    </cfRule>
    <cfRule type="expression" dxfId="4" priority="950">
      <formula>AF37="年"</formula>
    </cfRule>
    <cfRule type="expression" dxfId="5" priority="949">
      <formula>AF37="探"</formula>
    </cfRule>
  </conditionalFormatting>
  <conditionalFormatting sqref="AG37:AH37">
    <cfRule type="expression" dxfId="2" priority="948">
      <formula>AG37="病"</formula>
    </cfRule>
    <cfRule type="expression" dxfId="3" priority="947">
      <formula>AG37="事"</formula>
    </cfRule>
    <cfRule type="expression" dxfId="4" priority="946">
      <formula>AG37="年"</formula>
    </cfRule>
    <cfRule type="expression" dxfId="5" priority="945">
      <formula>AG37="探"</formula>
    </cfRule>
  </conditionalFormatting>
  <conditionalFormatting sqref="AI37">
    <cfRule type="expression" dxfId="2" priority="944">
      <formula>AI37="病"</formula>
    </cfRule>
    <cfRule type="expression" dxfId="3" priority="943">
      <formula>AI37="事"</formula>
    </cfRule>
    <cfRule type="expression" dxfId="4" priority="942">
      <formula>AI37="年"</formula>
    </cfRule>
    <cfRule type="expression" dxfId="5" priority="941">
      <formula>AI37="探"</formula>
    </cfRule>
  </conditionalFormatting>
  <conditionalFormatting sqref="AJ37">
    <cfRule type="expression" dxfId="2" priority="960">
      <formula>AJ37="病"</formula>
    </cfRule>
    <cfRule type="expression" dxfId="3" priority="959">
      <formula>AJ37="事"</formula>
    </cfRule>
    <cfRule type="expression" dxfId="4" priority="958">
      <formula>AJ37="年"</formula>
    </cfRule>
    <cfRule type="expression" dxfId="5" priority="957">
      <formula>AJ37="探"</formula>
    </cfRule>
  </conditionalFormatting>
  <conditionalFormatting sqref="AK37">
    <cfRule type="expression" dxfId="2" priority="956">
      <formula>AK37="病"</formula>
    </cfRule>
    <cfRule type="expression" dxfId="3" priority="955">
      <formula>AK37="事"</formula>
    </cfRule>
    <cfRule type="expression" dxfId="4" priority="954">
      <formula>AK37="年"</formula>
    </cfRule>
    <cfRule type="expression" dxfId="5" priority="953">
      <formula>AK37="探"</formula>
    </cfRule>
  </conditionalFormatting>
  <conditionalFormatting sqref="G38:H38">
    <cfRule type="expression" dxfId="2" priority="2148">
      <formula>G38="病"</formula>
    </cfRule>
    <cfRule type="expression" dxfId="3" priority="2147">
      <formula>G38="事"</formula>
    </cfRule>
    <cfRule type="expression" dxfId="4" priority="2146">
      <formula>G38="年"</formula>
    </cfRule>
    <cfRule type="expression" dxfId="5" priority="2145">
      <formula>G38="探"</formula>
    </cfRule>
  </conditionalFormatting>
  <conditionalFormatting sqref="I38:AD38">
    <cfRule type="expression" dxfId="2" priority="2152">
      <formula>I38="病"</formula>
    </cfRule>
    <cfRule type="expression" dxfId="3" priority="2151">
      <formula>I38="事"</formula>
    </cfRule>
    <cfRule type="expression" dxfId="4" priority="2150">
      <formula>I38="年"</formula>
    </cfRule>
    <cfRule type="expression" dxfId="5" priority="2149">
      <formula>I38="探"</formula>
    </cfRule>
  </conditionalFormatting>
  <conditionalFormatting sqref="AE38:AK38">
    <cfRule type="expression" dxfId="2" priority="940">
      <formula>AE38="病"</formula>
    </cfRule>
    <cfRule type="expression" dxfId="3" priority="939">
      <formula>AE38="事"</formula>
    </cfRule>
    <cfRule type="expression" dxfId="4" priority="938">
      <formula>AE38="年"</formula>
    </cfRule>
    <cfRule type="expression" dxfId="5" priority="937">
      <formula>AE38="探"</formula>
    </cfRule>
  </conditionalFormatting>
  <conditionalFormatting sqref="L39:M39">
    <cfRule type="expression" dxfId="5" priority="5937">
      <formula>L39="探"</formula>
    </cfRule>
    <cfRule type="expression" dxfId="4" priority="5938">
      <formula>L39="年"</formula>
    </cfRule>
    <cfRule type="expression" dxfId="3" priority="5939">
      <formula>L39="事"</formula>
    </cfRule>
    <cfRule type="expression" dxfId="2" priority="5940">
      <formula>L39="病"</formula>
    </cfRule>
  </conditionalFormatting>
  <conditionalFormatting sqref="N39">
    <cfRule type="expression" dxfId="5" priority="5933">
      <formula>N39="探"</formula>
    </cfRule>
    <cfRule type="expression" dxfId="4" priority="5934">
      <formula>N39="年"</formula>
    </cfRule>
    <cfRule type="expression" dxfId="3" priority="5935">
      <formula>N39="事"</formula>
    </cfRule>
    <cfRule type="expression" dxfId="2" priority="5936">
      <formula>N39="病"</formula>
    </cfRule>
  </conditionalFormatting>
  <conditionalFormatting sqref="O39:P39">
    <cfRule type="expression" dxfId="5" priority="5105">
      <formula>O39="探"</formula>
    </cfRule>
    <cfRule type="expression" dxfId="4" priority="5106">
      <formula>O39="年"</formula>
    </cfRule>
    <cfRule type="expression" dxfId="3" priority="5107">
      <formula>O39="事"</formula>
    </cfRule>
    <cfRule type="expression" dxfId="2" priority="5108">
      <formula>O39="病"</formula>
    </cfRule>
  </conditionalFormatting>
  <conditionalFormatting sqref="Q39">
    <cfRule type="expression" dxfId="5" priority="5101">
      <formula>Q39="探"</formula>
    </cfRule>
    <cfRule type="expression" dxfId="4" priority="5102">
      <formula>Q39="年"</formula>
    </cfRule>
    <cfRule type="expression" dxfId="3" priority="5103">
      <formula>Q39="事"</formula>
    </cfRule>
    <cfRule type="expression" dxfId="2" priority="5104">
      <formula>Q39="病"</formula>
    </cfRule>
  </conditionalFormatting>
  <conditionalFormatting sqref="R39:S39">
    <cfRule type="expression" dxfId="5" priority="5097">
      <formula>R39="探"</formula>
    </cfRule>
    <cfRule type="expression" dxfId="4" priority="5098">
      <formula>R39="年"</formula>
    </cfRule>
    <cfRule type="expression" dxfId="3" priority="5099">
      <formula>R39="事"</formula>
    </cfRule>
    <cfRule type="expression" dxfId="2" priority="5100">
      <formula>R39="病"</formula>
    </cfRule>
  </conditionalFormatting>
  <conditionalFormatting sqref="T39">
    <cfRule type="expression" dxfId="5" priority="5093">
      <formula>T39="探"</formula>
    </cfRule>
    <cfRule type="expression" dxfId="4" priority="5094">
      <formula>T39="年"</formula>
    </cfRule>
    <cfRule type="expression" dxfId="3" priority="5095">
      <formula>T39="事"</formula>
    </cfRule>
    <cfRule type="expression" dxfId="2" priority="5096">
      <formula>T39="病"</formula>
    </cfRule>
  </conditionalFormatting>
  <conditionalFormatting sqref="AE39">
    <cfRule type="expression" dxfId="2" priority="928">
      <formula>AE39="病"</formula>
    </cfRule>
    <cfRule type="expression" dxfId="3" priority="927">
      <formula>AE39="事"</formula>
    </cfRule>
    <cfRule type="expression" dxfId="4" priority="926">
      <formula>AE39="年"</formula>
    </cfRule>
    <cfRule type="expression" dxfId="5" priority="925">
      <formula>AE39="探"</formula>
    </cfRule>
  </conditionalFormatting>
  <conditionalFormatting sqref="AF39">
    <cfRule type="expression" dxfId="2" priority="936">
      <formula>AF39="病"</formula>
    </cfRule>
    <cfRule type="expression" dxfId="3" priority="935">
      <formula>AF39="事"</formula>
    </cfRule>
    <cfRule type="expression" dxfId="4" priority="934">
      <formula>AF39="年"</formula>
    </cfRule>
    <cfRule type="expression" dxfId="5" priority="933">
      <formula>AF39="探"</formula>
    </cfRule>
  </conditionalFormatting>
  <conditionalFormatting sqref="AG39:AH39">
    <cfRule type="expression" dxfId="2" priority="932">
      <formula>AG39="病"</formula>
    </cfRule>
    <cfRule type="expression" dxfId="3" priority="931">
      <formula>AG39="事"</formula>
    </cfRule>
    <cfRule type="expression" dxfId="4" priority="930">
      <formula>AG39="年"</formula>
    </cfRule>
    <cfRule type="expression" dxfId="5" priority="929">
      <formula>AG39="探"</formula>
    </cfRule>
  </conditionalFormatting>
  <conditionalFormatting sqref="AI39">
    <cfRule type="expression" dxfId="2" priority="924">
      <formula>AI39="病"</formula>
    </cfRule>
    <cfRule type="expression" dxfId="3" priority="923">
      <formula>AI39="事"</formula>
    </cfRule>
    <cfRule type="expression" dxfId="4" priority="922">
      <formula>AI39="年"</formula>
    </cfRule>
    <cfRule type="expression" dxfId="5" priority="921">
      <formula>AI39="探"</formula>
    </cfRule>
  </conditionalFormatting>
  <conditionalFormatting sqref="AJ39">
    <cfRule type="expression" dxfId="2" priority="920">
      <formula>AJ39="病"</formula>
    </cfRule>
    <cfRule type="expression" dxfId="3" priority="919">
      <formula>AJ39="事"</formula>
    </cfRule>
    <cfRule type="expression" dxfId="4" priority="918">
      <formula>AJ39="年"</formula>
    </cfRule>
    <cfRule type="expression" dxfId="5" priority="917">
      <formula>AJ39="探"</formula>
    </cfRule>
  </conditionalFormatting>
  <conditionalFormatting sqref="G40:H40">
    <cfRule type="expression" dxfId="5" priority="9021">
      <formula>G40="探"</formula>
    </cfRule>
    <cfRule type="expression" dxfId="4" priority="9022">
      <formula>G40="年"</formula>
    </cfRule>
    <cfRule type="expression" dxfId="3" priority="9023">
      <formula>G40="事"</formula>
    </cfRule>
    <cfRule type="expression" dxfId="2" priority="9024">
      <formula>G40="病"</formula>
    </cfRule>
  </conditionalFormatting>
  <conditionalFormatting sqref="I40">
    <cfRule type="expression" dxfId="5" priority="9025">
      <formula>I40="探"</formula>
    </cfRule>
    <cfRule type="expression" dxfId="4" priority="9026">
      <formula>I40="年"</formula>
    </cfRule>
    <cfRule type="expression" dxfId="3" priority="9027">
      <formula>I40="事"</formula>
    </cfRule>
    <cfRule type="expression" dxfId="2" priority="9028">
      <formula>I40="病"</formula>
    </cfRule>
  </conditionalFormatting>
  <conditionalFormatting sqref="J40">
    <cfRule type="expression" dxfId="5" priority="9077">
      <formula>J40="探"</formula>
    </cfRule>
    <cfRule type="expression" dxfId="4" priority="9078">
      <formula>J40="年"</formula>
    </cfRule>
    <cfRule type="expression" dxfId="3" priority="9079">
      <formula>J40="事"</formula>
    </cfRule>
    <cfRule type="expression" dxfId="2" priority="9080">
      <formula>J40="病"</formula>
    </cfRule>
  </conditionalFormatting>
  <conditionalFormatting sqref="K40:L40">
    <cfRule type="expression" dxfId="5" priority="5929">
      <formula>K40="探"</formula>
    </cfRule>
    <cfRule type="expression" dxfId="4" priority="5930">
      <formula>K40="年"</formula>
    </cfRule>
    <cfRule type="expression" dxfId="3" priority="5931">
      <formula>K40="事"</formula>
    </cfRule>
    <cfRule type="expression" dxfId="2" priority="5932">
      <formula>K40="病"</formula>
    </cfRule>
  </conditionalFormatting>
  <conditionalFormatting sqref="M40:N40">
    <cfRule type="expression" dxfId="5" priority="5925">
      <formula>M40="探"</formula>
    </cfRule>
    <cfRule type="expression" dxfId="4" priority="5926">
      <formula>M40="年"</formula>
    </cfRule>
    <cfRule type="expression" dxfId="3" priority="5927">
      <formula>M40="事"</formula>
    </cfRule>
    <cfRule type="expression" dxfId="2" priority="5928">
      <formula>M40="病"</formula>
    </cfRule>
  </conditionalFormatting>
  <conditionalFormatting sqref="O40:P40">
    <cfRule type="expression" dxfId="5" priority="5089">
      <formula>O40="探"</formula>
    </cfRule>
    <cfRule type="expression" dxfId="4" priority="5090">
      <formula>O40="年"</formula>
    </cfRule>
    <cfRule type="expression" dxfId="3" priority="5091">
      <formula>O40="事"</formula>
    </cfRule>
    <cfRule type="expression" dxfId="2" priority="5092">
      <formula>O40="病"</formula>
    </cfRule>
  </conditionalFormatting>
  <conditionalFormatting sqref="Q40:R40">
    <cfRule type="expression" dxfId="5" priority="5085">
      <formula>Q40="探"</formula>
    </cfRule>
    <cfRule type="expression" dxfId="4" priority="5086">
      <formula>Q40="年"</formula>
    </cfRule>
    <cfRule type="expression" dxfId="3" priority="5087">
      <formula>Q40="事"</formula>
    </cfRule>
    <cfRule type="expression" dxfId="2" priority="5088">
      <formula>Q40="病"</formula>
    </cfRule>
  </conditionalFormatting>
  <conditionalFormatting sqref="S40">
    <cfRule type="expression" dxfId="5" priority="8685">
      <formula>S40="探"</formula>
    </cfRule>
    <cfRule type="expression" dxfId="4" priority="8686">
      <formula>S40="年"</formula>
    </cfRule>
    <cfRule type="expression" dxfId="3" priority="8687">
      <formula>S40="事"</formula>
    </cfRule>
    <cfRule type="expression" dxfId="2" priority="8688">
      <formula>S40="病"</formula>
    </cfRule>
  </conditionalFormatting>
  <conditionalFormatting sqref="T40">
    <cfRule type="expression" dxfId="5" priority="4349">
      <formula>T40="探"</formula>
    </cfRule>
    <cfRule type="expression" dxfId="4" priority="4350">
      <formula>T40="年"</formula>
    </cfRule>
    <cfRule type="expression" dxfId="3" priority="4351">
      <formula>T40="事"</formula>
    </cfRule>
    <cfRule type="expression" dxfId="2" priority="4352">
      <formula>T40="病"</formula>
    </cfRule>
  </conditionalFormatting>
  <conditionalFormatting sqref="U40:V40">
    <cfRule type="expression" dxfId="5" priority="4345">
      <formula>U40="探"</formula>
    </cfRule>
    <cfRule type="expression" dxfId="4" priority="4346">
      <formula>U40="年"</formula>
    </cfRule>
    <cfRule type="expression" dxfId="3" priority="4347">
      <formula>U40="事"</formula>
    </cfRule>
    <cfRule type="expression" dxfId="2" priority="4348">
      <formula>U40="病"</formula>
    </cfRule>
  </conditionalFormatting>
  <conditionalFormatting sqref="W40">
    <cfRule type="expression" dxfId="5" priority="4341">
      <formula>W40="探"</formula>
    </cfRule>
    <cfRule type="expression" dxfId="4" priority="4342">
      <formula>W40="年"</formula>
    </cfRule>
    <cfRule type="expression" dxfId="3" priority="4343">
      <formula>W40="事"</formula>
    </cfRule>
    <cfRule type="expression" dxfId="2" priority="4344">
      <formula>W40="病"</formula>
    </cfRule>
  </conditionalFormatting>
  <conditionalFormatting sqref="X40">
    <cfRule type="expression" dxfId="5" priority="8425">
      <formula>X40="探"</formula>
    </cfRule>
    <cfRule type="expression" dxfId="4" priority="8426">
      <formula>X40="年"</formula>
    </cfRule>
    <cfRule type="expression" dxfId="3" priority="8427">
      <formula>X40="事"</formula>
    </cfRule>
    <cfRule type="expression" dxfId="2" priority="8428">
      <formula>X40="病"</formula>
    </cfRule>
  </conditionalFormatting>
  <conditionalFormatting sqref="Y40:Z40">
    <cfRule type="expression" dxfId="5" priority="2697">
      <formula>Y40="探"</formula>
    </cfRule>
    <cfRule type="expression" dxfId="4" priority="2698">
      <formula>Y40="年"</formula>
    </cfRule>
    <cfRule type="expression" dxfId="3" priority="2699">
      <formula>Y40="事"</formula>
    </cfRule>
    <cfRule type="expression" dxfId="2" priority="2700">
      <formula>Y40="病"</formula>
    </cfRule>
  </conditionalFormatting>
  <conditionalFormatting sqref="AA40">
    <cfRule type="expression" dxfId="5" priority="2701">
      <formula>AA40="探"</formula>
    </cfRule>
    <cfRule type="expression" dxfId="4" priority="2702">
      <formula>AA40="年"</formula>
    </cfRule>
    <cfRule type="expression" dxfId="3" priority="2703">
      <formula>AA40="事"</formula>
    </cfRule>
    <cfRule type="expression" dxfId="2" priority="2704">
      <formula>AA40="病"</formula>
    </cfRule>
  </conditionalFormatting>
  <conditionalFormatting sqref="AB40">
    <cfRule type="expression" dxfId="5" priority="2693">
      <formula>AB40="探"</formula>
    </cfRule>
    <cfRule type="expression" dxfId="4" priority="2694">
      <formula>AB40="年"</formula>
    </cfRule>
    <cfRule type="expression" dxfId="3" priority="2695">
      <formula>AB40="事"</formula>
    </cfRule>
    <cfRule type="expression" dxfId="2" priority="2696">
      <formula>AB40="病"</formula>
    </cfRule>
  </conditionalFormatting>
  <conditionalFormatting sqref="AC40">
    <cfRule type="expression" dxfId="5" priority="2689">
      <formula>AC40="探"</formula>
    </cfRule>
    <cfRule type="expression" dxfId="4" priority="2690">
      <formula>AC40="年"</formula>
    </cfRule>
    <cfRule type="expression" dxfId="3" priority="2691">
      <formula>AC40="事"</formula>
    </cfRule>
    <cfRule type="expression" dxfId="2" priority="2692">
      <formula>AC40="病"</formula>
    </cfRule>
  </conditionalFormatting>
  <conditionalFormatting sqref="AD40">
    <cfRule type="expression" dxfId="5" priority="2685">
      <formula>AD40="探"</formula>
    </cfRule>
    <cfRule type="expression" dxfId="4" priority="2686">
      <formula>AD40="年"</formula>
    </cfRule>
    <cfRule type="expression" dxfId="3" priority="2687">
      <formula>AD40="事"</formula>
    </cfRule>
    <cfRule type="expression" dxfId="2" priority="2688">
      <formula>AD40="病"</formula>
    </cfRule>
  </conditionalFormatting>
  <conditionalFormatting sqref="AE40">
    <cfRule type="expression" dxfId="2" priority="916">
      <formula>AE40="病"</formula>
    </cfRule>
    <cfRule type="expression" dxfId="3" priority="915">
      <formula>AE40="事"</formula>
    </cfRule>
    <cfRule type="expression" dxfId="4" priority="914">
      <formula>AE40="年"</formula>
    </cfRule>
    <cfRule type="expression" dxfId="5" priority="913">
      <formula>AE40="探"</formula>
    </cfRule>
  </conditionalFormatting>
  <conditionalFormatting sqref="AF40">
    <cfRule type="expression" dxfId="2" priority="908">
      <formula>AF40="病"</formula>
    </cfRule>
    <cfRule type="expression" dxfId="3" priority="907">
      <formula>AF40="事"</formula>
    </cfRule>
    <cfRule type="expression" dxfId="4" priority="906">
      <formula>AF40="年"</formula>
    </cfRule>
    <cfRule type="expression" dxfId="5" priority="905">
      <formula>AF40="探"</formula>
    </cfRule>
  </conditionalFormatting>
  <conditionalFormatting sqref="AG40:AH40">
    <cfRule type="expression" dxfId="2" priority="904">
      <formula>AG40="病"</formula>
    </cfRule>
    <cfRule type="expression" dxfId="3" priority="903">
      <formula>AG40="事"</formula>
    </cfRule>
    <cfRule type="expression" dxfId="4" priority="902">
      <formula>AG40="年"</formula>
    </cfRule>
    <cfRule type="expression" dxfId="5" priority="901">
      <formula>AG40="探"</formula>
    </cfRule>
  </conditionalFormatting>
  <conditionalFormatting sqref="AI40">
    <cfRule type="expression" dxfId="2" priority="900">
      <formula>AI40="病"</formula>
    </cfRule>
    <cfRule type="expression" dxfId="3" priority="899">
      <formula>AI40="事"</formula>
    </cfRule>
    <cfRule type="expression" dxfId="4" priority="898">
      <formula>AI40="年"</formula>
    </cfRule>
    <cfRule type="expression" dxfId="5" priority="897">
      <formula>AI40="探"</formula>
    </cfRule>
  </conditionalFormatting>
  <conditionalFormatting sqref="AJ40">
    <cfRule type="expression" dxfId="2" priority="912">
      <formula>AJ40="病"</formula>
    </cfRule>
    <cfRule type="expression" dxfId="3" priority="911">
      <formula>AJ40="事"</formula>
    </cfRule>
    <cfRule type="expression" dxfId="4" priority="910">
      <formula>AJ40="年"</formula>
    </cfRule>
    <cfRule type="expression" dxfId="5" priority="909">
      <formula>AJ40="探"</formula>
    </cfRule>
  </conditionalFormatting>
  <conditionalFormatting sqref="AK40">
    <cfRule type="expression" dxfId="2" priority="896">
      <formula>AK40="病"</formula>
    </cfRule>
    <cfRule type="expression" dxfId="3" priority="895">
      <formula>AK40="事"</formula>
    </cfRule>
    <cfRule type="expression" dxfId="4" priority="894">
      <formula>AK40="年"</formula>
    </cfRule>
    <cfRule type="expression" dxfId="5" priority="893">
      <formula>AK40="探"</formula>
    </cfRule>
  </conditionalFormatting>
  <conditionalFormatting sqref="H41:I41">
    <cfRule type="expression" dxfId="5" priority="9013">
      <formula>H41="探"</formula>
    </cfRule>
    <cfRule type="expression" dxfId="4" priority="9014">
      <formula>H41="年"</formula>
    </cfRule>
    <cfRule type="expression" dxfId="3" priority="9015">
      <formula>H41="事"</formula>
    </cfRule>
    <cfRule type="expression" dxfId="2" priority="9016">
      <formula>H41="病"</formula>
    </cfRule>
  </conditionalFormatting>
  <conditionalFormatting sqref="J41">
    <cfRule type="expression" dxfId="5" priority="9017">
      <formula>J41="探"</formula>
    </cfRule>
    <cfRule type="expression" dxfId="4" priority="9018">
      <formula>J41="年"</formula>
    </cfRule>
    <cfRule type="expression" dxfId="3" priority="9019">
      <formula>J41="事"</formula>
    </cfRule>
    <cfRule type="expression" dxfId="2" priority="9020">
      <formula>J41="病"</formula>
    </cfRule>
  </conditionalFormatting>
  <conditionalFormatting sqref="K41">
    <cfRule type="expression" dxfId="5" priority="5921">
      <formula>K41="探"</formula>
    </cfRule>
    <cfRule type="expression" dxfId="4" priority="5922">
      <formula>K41="年"</formula>
    </cfRule>
    <cfRule type="expression" dxfId="3" priority="5923">
      <formula>K41="事"</formula>
    </cfRule>
    <cfRule type="expression" dxfId="2" priority="5924">
      <formula>K41="病"</formula>
    </cfRule>
  </conditionalFormatting>
  <conditionalFormatting sqref="L41:M41">
    <cfRule type="expression" dxfId="5" priority="5917">
      <formula>L41="探"</formula>
    </cfRule>
    <cfRule type="expression" dxfId="4" priority="5918">
      <formula>L41="年"</formula>
    </cfRule>
    <cfRule type="expression" dxfId="3" priority="5919">
      <formula>L41="事"</formula>
    </cfRule>
    <cfRule type="expression" dxfId="2" priority="5920">
      <formula>L41="病"</formula>
    </cfRule>
  </conditionalFormatting>
  <conditionalFormatting sqref="N41">
    <cfRule type="expression" dxfId="5" priority="5913">
      <formula>N41="探"</formula>
    </cfRule>
    <cfRule type="expression" dxfId="4" priority="5914">
      <formula>N41="年"</formula>
    </cfRule>
    <cfRule type="expression" dxfId="3" priority="5915">
      <formula>N41="事"</formula>
    </cfRule>
    <cfRule type="expression" dxfId="2" priority="5916">
      <formula>N41="病"</formula>
    </cfRule>
  </conditionalFormatting>
  <conditionalFormatting sqref="O41">
    <cfRule type="expression" dxfId="5" priority="5077">
      <formula>O41="探"</formula>
    </cfRule>
    <cfRule type="expression" dxfId="4" priority="5078">
      <formula>O41="年"</formula>
    </cfRule>
    <cfRule type="expression" dxfId="3" priority="5079">
      <formula>O41="事"</formula>
    </cfRule>
    <cfRule type="expression" dxfId="2" priority="5080">
      <formula>O41="病"</formula>
    </cfRule>
  </conditionalFormatting>
  <conditionalFormatting sqref="P41:Q41">
    <cfRule type="expression" dxfId="5" priority="5073">
      <formula>P41="探"</formula>
    </cfRule>
    <cfRule type="expression" dxfId="4" priority="5074">
      <formula>P41="年"</formula>
    </cfRule>
    <cfRule type="expression" dxfId="3" priority="5075">
      <formula>P41="事"</formula>
    </cfRule>
    <cfRule type="expression" dxfId="2" priority="5076">
      <formula>P41="病"</formula>
    </cfRule>
  </conditionalFormatting>
  <conditionalFormatting sqref="R41:S41">
    <cfRule type="expression" dxfId="5" priority="5069">
      <formula>R41="探"</formula>
    </cfRule>
    <cfRule type="expression" dxfId="4" priority="5070">
      <formula>R41="年"</formula>
    </cfRule>
    <cfRule type="expression" dxfId="3" priority="5071">
      <formula>R41="事"</formula>
    </cfRule>
    <cfRule type="expression" dxfId="2" priority="5072">
      <formula>R41="病"</formula>
    </cfRule>
  </conditionalFormatting>
  <conditionalFormatting sqref="T41">
    <cfRule type="expression" dxfId="5" priority="5081">
      <formula>T41="探"</formula>
    </cfRule>
    <cfRule type="expression" dxfId="4" priority="5082">
      <formula>T41="年"</formula>
    </cfRule>
    <cfRule type="expression" dxfId="3" priority="5083">
      <formula>T41="事"</formula>
    </cfRule>
    <cfRule type="expression" dxfId="2" priority="5084">
      <formula>T41="病"</formula>
    </cfRule>
  </conditionalFormatting>
  <conditionalFormatting sqref="U41">
    <cfRule type="expression" dxfId="5" priority="8421">
      <formula>U41="探"</formula>
    </cfRule>
    <cfRule type="expression" dxfId="4" priority="8422">
      <formula>U41="年"</formula>
    </cfRule>
    <cfRule type="expression" dxfId="3" priority="8423">
      <formula>U41="事"</formula>
    </cfRule>
    <cfRule type="expression" dxfId="2" priority="8424">
      <formula>U41="病"</formula>
    </cfRule>
  </conditionalFormatting>
  <conditionalFormatting sqref="V41:W41">
    <cfRule type="expression" dxfId="5" priority="8417">
      <formula>V41="探"</formula>
    </cfRule>
    <cfRule type="expression" dxfId="4" priority="8418">
      <formula>V41="年"</formula>
    </cfRule>
    <cfRule type="expression" dxfId="3" priority="8419">
      <formula>V41="事"</formula>
    </cfRule>
    <cfRule type="expression" dxfId="2" priority="8420">
      <formula>V41="病"</formula>
    </cfRule>
  </conditionalFormatting>
  <conditionalFormatting sqref="X41">
    <cfRule type="expression" dxfId="5" priority="8413">
      <formula>X41="探"</formula>
    </cfRule>
    <cfRule type="expression" dxfId="4" priority="8414">
      <formula>X41="年"</formula>
    </cfRule>
    <cfRule type="expression" dxfId="3" priority="8415">
      <formula>X41="事"</formula>
    </cfRule>
    <cfRule type="expression" dxfId="2" priority="8416">
      <formula>X41="病"</formula>
    </cfRule>
  </conditionalFormatting>
  <conditionalFormatting sqref="Y41">
    <cfRule type="expression" dxfId="5" priority="2681">
      <formula>Y41="探"</formula>
    </cfRule>
    <cfRule type="expression" dxfId="4" priority="2682">
      <formula>Y41="年"</formula>
    </cfRule>
    <cfRule type="expression" dxfId="3" priority="2683">
      <formula>Y41="事"</formula>
    </cfRule>
    <cfRule type="expression" dxfId="2" priority="2684">
      <formula>Y41="病"</formula>
    </cfRule>
  </conditionalFormatting>
  <conditionalFormatting sqref="Z41:AA41">
    <cfRule type="expression" dxfId="5" priority="2673">
      <formula>Z41="探"</formula>
    </cfRule>
    <cfRule type="expression" dxfId="4" priority="2674">
      <formula>Z41="年"</formula>
    </cfRule>
    <cfRule type="expression" dxfId="3" priority="2675">
      <formula>Z41="事"</formula>
    </cfRule>
    <cfRule type="expression" dxfId="2" priority="2676">
      <formula>Z41="病"</formula>
    </cfRule>
  </conditionalFormatting>
  <conditionalFormatting sqref="AB41">
    <cfRule type="expression" dxfId="5" priority="2677">
      <formula>AB41="探"</formula>
    </cfRule>
    <cfRule type="expression" dxfId="4" priority="2678">
      <formula>AB41="年"</formula>
    </cfRule>
    <cfRule type="expression" dxfId="3" priority="2679">
      <formula>AB41="事"</formula>
    </cfRule>
    <cfRule type="expression" dxfId="2" priority="2680">
      <formula>AB41="病"</formula>
    </cfRule>
  </conditionalFormatting>
  <conditionalFormatting sqref="AC41">
    <cfRule type="expression" dxfId="5" priority="2669">
      <formula>AC41="探"</formula>
    </cfRule>
    <cfRule type="expression" dxfId="4" priority="2670">
      <formula>AC41="年"</formula>
    </cfRule>
    <cfRule type="expression" dxfId="3" priority="2671">
      <formula>AC41="事"</formula>
    </cfRule>
    <cfRule type="expression" dxfId="2" priority="2672">
      <formula>AC41="病"</formula>
    </cfRule>
  </conditionalFormatting>
  <conditionalFormatting sqref="AD41">
    <cfRule type="expression" dxfId="5" priority="2665">
      <formula>AD41="探"</formula>
    </cfRule>
    <cfRule type="expression" dxfId="4" priority="2666">
      <formula>AD41="年"</formula>
    </cfRule>
    <cfRule type="expression" dxfId="3" priority="2667">
      <formula>AD41="事"</formula>
    </cfRule>
    <cfRule type="expression" dxfId="2" priority="2668">
      <formula>AD41="病"</formula>
    </cfRule>
  </conditionalFormatting>
  <conditionalFormatting sqref="AG41">
    <cfRule type="expression" dxfId="5" priority="7121">
      <formula>AG41="探"</formula>
    </cfRule>
    <cfRule type="expression" dxfId="4" priority="7122">
      <formula>AG41="年"</formula>
    </cfRule>
    <cfRule type="expression" dxfId="3" priority="7123">
      <formula>AG41="事"</formula>
    </cfRule>
    <cfRule type="expression" dxfId="2" priority="7124">
      <formula>AG41="病"</formula>
    </cfRule>
  </conditionalFormatting>
  <conditionalFormatting sqref="AH41">
    <cfRule type="expression" dxfId="5" priority="7113">
      <formula>AH41="探"</formula>
    </cfRule>
    <cfRule type="expression" dxfId="4" priority="7114">
      <formula>AH41="年"</formula>
    </cfRule>
    <cfRule type="expression" dxfId="3" priority="7115">
      <formula>AH41="事"</formula>
    </cfRule>
    <cfRule type="expression" dxfId="2" priority="7116">
      <formula>AH41="病"</formula>
    </cfRule>
  </conditionalFormatting>
  <conditionalFormatting sqref="AI41:AJ41">
    <cfRule type="expression" dxfId="5" priority="7117">
      <formula>AI41="探"</formula>
    </cfRule>
    <cfRule type="expression" dxfId="4" priority="7118">
      <formula>AI41="年"</formula>
    </cfRule>
    <cfRule type="expression" dxfId="3" priority="7119">
      <formula>AI41="事"</formula>
    </cfRule>
    <cfRule type="expression" dxfId="2" priority="7120">
      <formula>AI41="病"</formula>
    </cfRule>
  </conditionalFormatting>
  <conditionalFormatting sqref="AK41">
    <cfRule type="expression" dxfId="5" priority="7109">
      <formula>AK41="探"</formula>
    </cfRule>
    <cfRule type="expression" dxfId="4" priority="7110">
      <formula>AK41="年"</formula>
    </cfRule>
    <cfRule type="expression" dxfId="3" priority="7111">
      <formula>AK41="事"</formula>
    </cfRule>
    <cfRule type="expression" dxfId="2" priority="7112">
      <formula>AK41="病"</formula>
    </cfRule>
  </conditionalFormatting>
  <conditionalFormatting sqref="G42:H42">
    <cfRule type="expression" dxfId="5" priority="6301">
      <formula>G42="探"</formula>
    </cfRule>
    <cfRule type="expression" dxfId="4" priority="6302">
      <formula>G42="年"</formula>
    </cfRule>
    <cfRule type="expression" dxfId="3" priority="6303">
      <formula>G42="事"</formula>
    </cfRule>
    <cfRule type="expression" dxfId="2" priority="6304">
      <formula>G42="病"</formula>
    </cfRule>
  </conditionalFormatting>
  <conditionalFormatting sqref="I42:J42">
    <cfRule type="expression" dxfId="5" priority="6305">
      <formula>I42="探"</formula>
    </cfRule>
    <cfRule type="expression" dxfId="4" priority="6306">
      <formula>I42="年"</formula>
    </cfRule>
    <cfRule type="expression" dxfId="3" priority="6307">
      <formula>I42="事"</formula>
    </cfRule>
    <cfRule type="expression" dxfId="2" priority="6308">
      <formula>I42="病"</formula>
    </cfRule>
  </conditionalFormatting>
  <conditionalFormatting sqref="K42:L42">
    <cfRule type="expression" dxfId="5" priority="5905">
      <formula>K42="探"</formula>
    </cfRule>
    <cfRule type="expression" dxfId="4" priority="5906">
      <formula>K42="年"</formula>
    </cfRule>
    <cfRule type="expression" dxfId="3" priority="5907">
      <formula>K42="事"</formula>
    </cfRule>
    <cfRule type="expression" dxfId="2" priority="5908">
      <formula>K42="病"</formula>
    </cfRule>
  </conditionalFormatting>
  <conditionalFormatting sqref="M42:N42">
    <cfRule type="expression" dxfId="5" priority="5909">
      <formula>M42="探"</formula>
    </cfRule>
    <cfRule type="expression" dxfId="4" priority="5910">
      <formula>M42="年"</formula>
    </cfRule>
    <cfRule type="expression" dxfId="3" priority="5911">
      <formula>M42="事"</formula>
    </cfRule>
    <cfRule type="expression" dxfId="2" priority="5912">
      <formula>M42="病"</formula>
    </cfRule>
  </conditionalFormatting>
  <conditionalFormatting sqref="O42">
    <cfRule type="expression" dxfId="5" priority="5065">
      <formula>O42="探"</formula>
    </cfRule>
    <cfRule type="expression" dxfId="4" priority="5066">
      <formula>O42="年"</formula>
    </cfRule>
    <cfRule type="expression" dxfId="3" priority="5067">
      <formula>O42="事"</formula>
    </cfRule>
    <cfRule type="expression" dxfId="2" priority="5068">
      <formula>O42="病"</formula>
    </cfRule>
  </conditionalFormatting>
  <conditionalFormatting sqref="P42">
    <cfRule type="expression" dxfId="5" priority="5061">
      <formula>P42="探"</formula>
    </cfRule>
    <cfRule type="expression" dxfId="4" priority="5062">
      <formula>P42="年"</formula>
    </cfRule>
    <cfRule type="expression" dxfId="3" priority="5063">
      <formula>P42="事"</formula>
    </cfRule>
    <cfRule type="expression" dxfId="2" priority="5064">
      <formula>P42="病"</formula>
    </cfRule>
  </conditionalFormatting>
  <conditionalFormatting sqref="Q42:R42">
    <cfRule type="expression" dxfId="5" priority="5057">
      <formula>Q42="探"</formula>
    </cfRule>
    <cfRule type="expression" dxfId="4" priority="5058">
      <formula>Q42="年"</formula>
    </cfRule>
    <cfRule type="expression" dxfId="3" priority="5059">
      <formula>Q42="事"</formula>
    </cfRule>
    <cfRule type="expression" dxfId="2" priority="5060">
      <formula>Q42="病"</formula>
    </cfRule>
  </conditionalFormatting>
  <conditionalFormatting sqref="S42:T42">
    <cfRule type="expression" dxfId="5" priority="5053">
      <formula>S42="探"</formula>
    </cfRule>
    <cfRule type="expression" dxfId="4" priority="5054">
      <formula>S42="年"</formula>
    </cfRule>
    <cfRule type="expression" dxfId="3" priority="5055">
      <formula>S42="事"</formula>
    </cfRule>
    <cfRule type="expression" dxfId="2" priority="5056">
      <formula>S42="病"</formula>
    </cfRule>
  </conditionalFormatting>
  <conditionalFormatting sqref="U42:V42">
    <cfRule type="expression" dxfId="5" priority="4337">
      <formula>U42="探"</formula>
    </cfRule>
    <cfRule type="expression" dxfId="4" priority="4338">
      <formula>U42="年"</formula>
    </cfRule>
    <cfRule type="expression" dxfId="3" priority="4339">
      <formula>U42="事"</formula>
    </cfRule>
    <cfRule type="expression" dxfId="2" priority="4340">
      <formula>U42="病"</formula>
    </cfRule>
  </conditionalFormatting>
  <conditionalFormatting sqref="W42">
    <cfRule type="expression" dxfId="5" priority="4333">
      <formula>W42="探"</formula>
    </cfRule>
    <cfRule type="expression" dxfId="4" priority="4334">
      <formula>W42="年"</formula>
    </cfRule>
    <cfRule type="expression" dxfId="3" priority="4335">
      <formula>W42="事"</formula>
    </cfRule>
    <cfRule type="expression" dxfId="2" priority="4336">
      <formula>W42="病"</formula>
    </cfRule>
  </conditionalFormatting>
  <conditionalFormatting sqref="X42">
    <cfRule type="expression" dxfId="5" priority="4329">
      <formula>X42="探"</formula>
    </cfRule>
    <cfRule type="expression" dxfId="4" priority="4330">
      <formula>X42="年"</formula>
    </cfRule>
    <cfRule type="expression" dxfId="3" priority="4331">
      <formula>X42="事"</formula>
    </cfRule>
    <cfRule type="expression" dxfId="2" priority="4332">
      <formula>X42="病"</formula>
    </cfRule>
  </conditionalFormatting>
  <conditionalFormatting sqref="Y42">
    <cfRule type="expression" dxfId="5" priority="2661">
      <formula>Y42="探"</formula>
    </cfRule>
    <cfRule type="expression" dxfId="4" priority="2662">
      <formula>Y42="年"</formula>
    </cfRule>
    <cfRule type="expression" dxfId="3" priority="2663">
      <formula>Y42="事"</formula>
    </cfRule>
    <cfRule type="expression" dxfId="2" priority="2664">
      <formula>Y42="病"</formula>
    </cfRule>
  </conditionalFormatting>
  <conditionalFormatting sqref="Z42">
    <cfRule type="expression" dxfId="5" priority="2657">
      <formula>Z42="探"</formula>
    </cfRule>
    <cfRule type="expression" dxfId="4" priority="2658">
      <formula>Z42="年"</formula>
    </cfRule>
    <cfRule type="expression" dxfId="3" priority="2659">
      <formula>Z42="事"</formula>
    </cfRule>
    <cfRule type="expression" dxfId="2" priority="2660">
      <formula>Z42="病"</formula>
    </cfRule>
  </conditionalFormatting>
  <conditionalFormatting sqref="AA42:AB42">
    <cfRule type="expression" dxfId="5" priority="2649">
      <formula>AA42="探"</formula>
    </cfRule>
    <cfRule type="expression" dxfId="4" priority="2650">
      <formula>AA42="年"</formula>
    </cfRule>
    <cfRule type="expression" dxfId="3" priority="2651">
      <formula>AA42="事"</formula>
    </cfRule>
    <cfRule type="expression" dxfId="2" priority="2652">
      <formula>AA42="病"</formula>
    </cfRule>
  </conditionalFormatting>
  <conditionalFormatting sqref="AC42">
    <cfRule type="expression" dxfId="5" priority="2653">
      <formula>AC42="探"</formula>
    </cfRule>
    <cfRule type="expression" dxfId="4" priority="2654">
      <formula>AC42="年"</formula>
    </cfRule>
    <cfRule type="expression" dxfId="3" priority="2655">
      <formula>AC42="事"</formula>
    </cfRule>
    <cfRule type="expression" dxfId="2" priority="2656">
      <formula>AC42="病"</formula>
    </cfRule>
  </conditionalFormatting>
  <conditionalFormatting sqref="AD42">
    <cfRule type="expression" dxfId="5" priority="2645">
      <formula>AD42="探"</formula>
    </cfRule>
    <cfRule type="expression" dxfId="4" priority="2646">
      <formula>AD42="年"</formula>
    </cfRule>
    <cfRule type="expression" dxfId="3" priority="2647">
      <formula>AD42="事"</formula>
    </cfRule>
    <cfRule type="expression" dxfId="2" priority="2648">
      <formula>AD42="病"</formula>
    </cfRule>
  </conditionalFormatting>
  <conditionalFormatting sqref="AI42:AJ42">
    <cfRule type="expression" dxfId="5" priority="7073">
      <formula>AI42="探"</formula>
    </cfRule>
    <cfRule type="expression" dxfId="4" priority="7074">
      <formula>AI42="年"</formula>
    </cfRule>
    <cfRule type="expression" dxfId="3" priority="7075">
      <formula>AI42="事"</formula>
    </cfRule>
    <cfRule type="expression" dxfId="2" priority="7076">
      <formula>AI42="病"</formula>
    </cfRule>
  </conditionalFormatting>
  <conditionalFormatting sqref="AK42">
    <cfRule type="expression" dxfId="5" priority="7089">
      <formula>AK42="探"</formula>
    </cfRule>
    <cfRule type="expression" dxfId="4" priority="7090">
      <formula>AK42="年"</formula>
    </cfRule>
    <cfRule type="expression" dxfId="3" priority="7091">
      <formula>AK42="事"</formula>
    </cfRule>
    <cfRule type="expression" dxfId="2" priority="7092">
      <formula>AK42="病"</formula>
    </cfRule>
  </conditionalFormatting>
  <conditionalFormatting sqref="K43">
    <cfRule type="expression" dxfId="5" priority="5901">
      <formula>K43="探"</formula>
    </cfRule>
    <cfRule type="expression" dxfId="4" priority="5902">
      <formula>K43="年"</formula>
    </cfRule>
    <cfRule type="expression" dxfId="3" priority="5903">
      <formula>K43="事"</formula>
    </cfRule>
    <cfRule type="expression" dxfId="2" priority="5904">
      <formula>K43="病"</formula>
    </cfRule>
  </conditionalFormatting>
  <conditionalFormatting sqref="L43:M43">
    <cfRule type="expression" dxfId="5" priority="5893">
      <formula>L43="探"</formula>
    </cfRule>
    <cfRule type="expression" dxfId="4" priority="5894">
      <formula>L43="年"</formula>
    </cfRule>
    <cfRule type="expression" dxfId="3" priority="5895">
      <formula>L43="事"</formula>
    </cfRule>
    <cfRule type="expression" dxfId="2" priority="5896">
      <formula>L43="病"</formula>
    </cfRule>
  </conditionalFormatting>
  <conditionalFormatting sqref="N43">
    <cfRule type="expression" dxfId="5" priority="5897">
      <formula>N43="探"</formula>
    </cfRule>
    <cfRule type="expression" dxfId="4" priority="5898">
      <formula>N43="年"</formula>
    </cfRule>
    <cfRule type="expression" dxfId="3" priority="5899">
      <formula>N43="事"</formula>
    </cfRule>
    <cfRule type="expression" dxfId="2" priority="5900">
      <formula>N43="病"</formula>
    </cfRule>
  </conditionalFormatting>
  <conditionalFormatting sqref="O43">
    <cfRule type="expression" dxfId="5" priority="5049">
      <formula>O43="探"</formula>
    </cfRule>
    <cfRule type="expression" dxfId="4" priority="5050">
      <formula>O43="年"</formula>
    </cfRule>
    <cfRule type="expression" dxfId="3" priority="5051">
      <formula>O43="事"</formula>
    </cfRule>
    <cfRule type="expression" dxfId="2" priority="5052">
      <formula>O43="病"</formula>
    </cfRule>
  </conditionalFormatting>
  <conditionalFormatting sqref="P43">
    <cfRule type="expression" dxfId="5" priority="5045">
      <formula>P43="探"</formula>
    </cfRule>
    <cfRule type="expression" dxfId="4" priority="5046">
      <formula>P43="年"</formula>
    </cfRule>
    <cfRule type="expression" dxfId="3" priority="5047">
      <formula>P43="事"</formula>
    </cfRule>
    <cfRule type="expression" dxfId="2" priority="5048">
      <formula>P43="病"</formula>
    </cfRule>
  </conditionalFormatting>
  <conditionalFormatting sqref="Q43">
    <cfRule type="expression" dxfId="5" priority="5041">
      <formula>Q43="探"</formula>
    </cfRule>
    <cfRule type="expression" dxfId="4" priority="5042">
      <formula>Q43="年"</formula>
    </cfRule>
    <cfRule type="expression" dxfId="3" priority="5043">
      <formula>Q43="事"</formula>
    </cfRule>
    <cfRule type="expression" dxfId="2" priority="5044">
      <formula>Q43="病"</formula>
    </cfRule>
  </conditionalFormatting>
  <conditionalFormatting sqref="R43:S43">
    <cfRule type="expression" dxfId="5" priority="5037">
      <formula>R43="探"</formula>
    </cfRule>
    <cfRule type="expression" dxfId="4" priority="5038">
      <formula>R43="年"</formula>
    </cfRule>
    <cfRule type="expression" dxfId="3" priority="5039">
      <formula>R43="事"</formula>
    </cfRule>
    <cfRule type="expression" dxfId="2" priority="5040">
      <formula>R43="病"</formula>
    </cfRule>
  </conditionalFormatting>
  <conditionalFormatting sqref="T43">
    <cfRule type="expression" dxfId="5" priority="5033">
      <formula>T43="探"</formula>
    </cfRule>
    <cfRule type="expression" dxfId="4" priority="5034">
      <formula>T43="年"</formula>
    </cfRule>
    <cfRule type="expression" dxfId="3" priority="5035">
      <formula>T43="事"</formula>
    </cfRule>
    <cfRule type="expression" dxfId="2" priority="5036">
      <formula>T43="病"</formula>
    </cfRule>
  </conditionalFormatting>
  <conditionalFormatting sqref="U43">
    <cfRule type="expression" dxfId="5" priority="4325">
      <formula>U43="探"</formula>
    </cfRule>
    <cfRule type="expression" dxfId="4" priority="4326">
      <formula>U43="年"</formula>
    </cfRule>
    <cfRule type="expression" dxfId="3" priority="4327">
      <formula>U43="事"</formula>
    </cfRule>
    <cfRule type="expression" dxfId="2" priority="4328">
      <formula>U43="病"</formula>
    </cfRule>
  </conditionalFormatting>
  <conditionalFormatting sqref="V43:W43">
    <cfRule type="expression" dxfId="5" priority="4321">
      <formula>V43="探"</formula>
    </cfRule>
    <cfRule type="expression" dxfId="4" priority="4322">
      <formula>V43="年"</formula>
    </cfRule>
    <cfRule type="expression" dxfId="3" priority="4323">
      <formula>V43="事"</formula>
    </cfRule>
    <cfRule type="expression" dxfId="2" priority="4324">
      <formula>V43="病"</formula>
    </cfRule>
  </conditionalFormatting>
  <conditionalFormatting sqref="X43">
    <cfRule type="expression" dxfId="5" priority="4317">
      <formula>X43="探"</formula>
    </cfRule>
    <cfRule type="expression" dxfId="4" priority="4318">
      <formula>X43="年"</formula>
    </cfRule>
    <cfRule type="expression" dxfId="3" priority="4319">
      <formula>X43="事"</formula>
    </cfRule>
    <cfRule type="expression" dxfId="2" priority="4320">
      <formula>X43="病"</formula>
    </cfRule>
  </conditionalFormatting>
  <conditionalFormatting sqref="Y43">
    <cfRule type="expression" dxfId="5" priority="2633">
      <formula>Y43="探"</formula>
    </cfRule>
    <cfRule type="expression" dxfId="4" priority="2634">
      <formula>Y43="年"</formula>
    </cfRule>
    <cfRule type="expression" dxfId="3" priority="2635">
      <formula>Y43="事"</formula>
    </cfRule>
    <cfRule type="expression" dxfId="2" priority="2636">
      <formula>Y43="病"</formula>
    </cfRule>
  </conditionalFormatting>
  <conditionalFormatting sqref="Z43">
    <cfRule type="expression" dxfId="5" priority="2629">
      <formula>Z43="探"</formula>
    </cfRule>
    <cfRule type="expression" dxfId="4" priority="2630">
      <formula>Z43="年"</formula>
    </cfRule>
    <cfRule type="expression" dxfId="3" priority="2631">
      <formula>Z43="事"</formula>
    </cfRule>
    <cfRule type="expression" dxfId="2" priority="2632">
      <formula>Z43="病"</formula>
    </cfRule>
  </conditionalFormatting>
  <conditionalFormatting sqref="AA43">
    <cfRule type="expression" dxfId="5" priority="2637">
      <formula>AA43="探"</formula>
    </cfRule>
    <cfRule type="expression" dxfId="4" priority="2638">
      <formula>AA43="年"</formula>
    </cfRule>
    <cfRule type="expression" dxfId="3" priority="2639">
      <formula>AA43="事"</formula>
    </cfRule>
    <cfRule type="expression" dxfId="2" priority="2640">
      <formula>AA43="病"</formula>
    </cfRule>
  </conditionalFormatting>
  <conditionalFormatting sqref="AB43:AC43">
    <cfRule type="expression" dxfId="5" priority="2621">
      <formula>AB43="探"</formula>
    </cfRule>
    <cfRule type="expression" dxfId="4" priority="2622">
      <formula>AB43="年"</formula>
    </cfRule>
    <cfRule type="expression" dxfId="3" priority="2623">
      <formula>AB43="事"</formula>
    </cfRule>
    <cfRule type="expression" dxfId="2" priority="2624">
      <formula>AB43="病"</formula>
    </cfRule>
  </conditionalFormatting>
  <conditionalFormatting sqref="AD43:AE43">
    <cfRule type="expression" dxfId="5" priority="2625">
      <formula>AD43="探"</formula>
    </cfRule>
    <cfRule type="expression" dxfId="4" priority="2626">
      <formula>AD43="年"</formula>
    </cfRule>
    <cfRule type="expression" dxfId="3" priority="2627">
      <formula>AD43="事"</formula>
    </cfRule>
    <cfRule type="expression" dxfId="2" priority="2628">
      <formula>AD43="病"</formula>
    </cfRule>
  </conditionalFormatting>
  <conditionalFormatting sqref="AF43:AG43">
    <cfRule type="expression" dxfId="5" priority="7101">
      <formula>AF43="探"</formula>
    </cfRule>
    <cfRule type="expression" dxfId="4" priority="7102">
      <formula>AF43="年"</formula>
    </cfRule>
    <cfRule type="expression" dxfId="3" priority="7103">
      <formula>AF43="事"</formula>
    </cfRule>
    <cfRule type="expression" dxfId="2" priority="7104">
      <formula>AF43="病"</formula>
    </cfRule>
  </conditionalFormatting>
  <conditionalFormatting sqref="AH43:AK43">
    <cfRule type="expression" dxfId="5" priority="7097">
      <formula>AH43="探"</formula>
    </cfRule>
    <cfRule type="expression" dxfId="4" priority="7098">
      <formula>AH43="年"</formula>
    </cfRule>
    <cfRule type="expression" dxfId="3" priority="7099">
      <formula>AH43="事"</formula>
    </cfRule>
    <cfRule type="expression" dxfId="2" priority="7100">
      <formula>AH43="病"</formula>
    </cfRule>
  </conditionalFormatting>
  <conditionalFormatting sqref="AE44:AH44">
    <cfRule type="expression" dxfId="2" priority="888">
      <formula>AE44="病"</formula>
    </cfRule>
    <cfRule type="expression" dxfId="3" priority="887">
      <formula>AE44="事"</formula>
    </cfRule>
    <cfRule type="expression" dxfId="4" priority="886">
      <formula>AE44="年"</formula>
    </cfRule>
    <cfRule type="expression" dxfId="5" priority="885">
      <formula>AE44="探"</formula>
    </cfRule>
  </conditionalFormatting>
  <conditionalFormatting sqref="AI44">
    <cfRule type="expression" dxfId="2" priority="880">
      <formula>AI44="病"</formula>
    </cfRule>
    <cfRule type="expression" dxfId="3" priority="879">
      <formula>AI44="事"</formula>
    </cfRule>
    <cfRule type="expression" dxfId="4" priority="878">
      <formula>AI44="年"</formula>
    </cfRule>
    <cfRule type="expression" dxfId="5" priority="877">
      <formula>AI44="探"</formula>
    </cfRule>
  </conditionalFormatting>
  <conditionalFormatting sqref="AJ44:AK44">
    <cfRule type="expression" dxfId="2" priority="876">
      <formula>AJ44="病"</formula>
    </cfRule>
    <cfRule type="expression" dxfId="3" priority="875">
      <formula>AJ44="事"</formula>
    </cfRule>
    <cfRule type="expression" dxfId="4" priority="874">
      <formula>AJ44="年"</formula>
    </cfRule>
    <cfRule type="expression" dxfId="5" priority="873">
      <formula>AJ44="探"</formula>
    </cfRule>
  </conditionalFormatting>
  <conditionalFormatting sqref="H45:J45">
    <cfRule type="expression" dxfId="5" priority="9001">
      <formula>H45="探"</formula>
    </cfRule>
    <cfRule type="expression" dxfId="4" priority="9002">
      <formula>H45="年"</formula>
    </cfRule>
    <cfRule type="expression" dxfId="3" priority="9003">
      <formula>H45="事"</formula>
    </cfRule>
    <cfRule type="expression" dxfId="2" priority="9004">
      <formula>H45="病"</formula>
    </cfRule>
  </conditionalFormatting>
  <conditionalFormatting sqref="AI45">
    <cfRule type="expression" dxfId="5" priority="889">
      <formula>AI45="探"</formula>
    </cfRule>
    <cfRule type="expression" dxfId="4" priority="890">
      <formula>AI45="年"</formula>
    </cfRule>
    <cfRule type="expression" dxfId="3" priority="891">
      <formula>AI45="事"</formula>
    </cfRule>
    <cfRule type="expression" dxfId="2" priority="892">
      <formula>AI45="病"</formula>
    </cfRule>
  </conditionalFormatting>
  <conditionalFormatting sqref="AJ45:AK45">
    <cfRule type="expression" dxfId="5" priority="881">
      <formula>AJ45="探"</formula>
    </cfRule>
    <cfRule type="expression" dxfId="4" priority="882">
      <formula>AJ45="年"</formula>
    </cfRule>
    <cfRule type="expression" dxfId="3" priority="883">
      <formula>AJ45="事"</formula>
    </cfRule>
    <cfRule type="expression" dxfId="2" priority="884">
      <formula>AJ45="病"</formula>
    </cfRule>
  </conditionalFormatting>
  <conditionalFormatting sqref="K46">
    <cfRule type="expression" dxfId="5" priority="5881">
      <formula>K46="探"</formula>
    </cfRule>
    <cfRule type="expression" dxfId="4" priority="5882">
      <formula>K46="年"</formula>
    </cfRule>
    <cfRule type="expression" dxfId="3" priority="5883">
      <formula>K46="事"</formula>
    </cfRule>
    <cfRule type="expression" dxfId="2" priority="5884">
      <formula>K46="病"</formula>
    </cfRule>
  </conditionalFormatting>
  <conditionalFormatting sqref="L46:M46">
    <cfRule type="expression" dxfId="5" priority="5877">
      <formula>L46="探"</formula>
    </cfRule>
    <cfRule type="expression" dxfId="4" priority="5878">
      <formula>L46="年"</formula>
    </cfRule>
    <cfRule type="expression" dxfId="3" priority="5879">
      <formula>L46="事"</formula>
    </cfRule>
    <cfRule type="expression" dxfId="2" priority="5880">
      <formula>L46="病"</formula>
    </cfRule>
  </conditionalFormatting>
  <conditionalFormatting sqref="N46">
    <cfRule type="expression" dxfId="5" priority="5873">
      <formula>N46="探"</formula>
    </cfRule>
    <cfRule type="expression" dxfId="4" priority="5874">
      <formula>N46="年"</formula>
    </cfRule>
    <cfRule type="expression" dxfId="3" priority="5875">
      <formula>N46="事"</formula>
    </cfRule>
    <cfRule type="expression" dxfId="2" priority="5876">
      <formula>N46="病"</formula>
    </cfRule>
  </conditionalFormatting>
  <conditionalFormatting sqref="O46">
    <cfRule type="expression" dxfId="5" priority="5029">
      <formula>O46="探"</formula>
    </cfRule>
    <cfRule type="expression" dxfId="4" priority="5030">
      <formula>O46="年"</formula>
    </cfRule>
    <cfRule type="expression" dxfId="3" priority="5031">
      <formula>O46="事"</formula>
    </cfRule>
    <cfRule type="expression" dxfId="2" priority="5032">
      <formula>O46="病"</formula>
    </cfRule>
  </conditionalFormatting>
  <conditionalFormatting sqref="P46:Q46">
    <cfRule type="expression" dxfId="5" priority="5025">
      <formula>P46="探"</formula>
    </cfRule>
    <cfRule type="expression" dxfId="4" priority="5026">
      <formula>P46="年"</formula>
    </cfRule>
    <cfRule type="expression" dxfId="3" priority="5027">
      <formula>P46="事"</formula>
    </cfRule>
    <cfRule type="expression" dxfId="2" priority="5028">
      <formula>P46="病"</formula>
    </cfRule>
  </conditionalFormatting>
  <conditionalFormatting sqref="R46">
    <cfRule type="expression" dxfId="5" priority="5021">
      <formula>R46="探"</formula>
    </cfRule>
    <cfRule type="expression" dxfId="4" priority="5022">
      <formula>R46="年"</formula>
    </cfRule>
    <cfRule type="expression" dxfId="3" priority="5023">
      <formula>R46="事"</formula>
    </cfRule>
    <cfRule type="expression" dxfId="2" priority="5024">
      <formula>R46="病"</formula>
    </cfRule>
  </conditionalFormatting>
  <conditionalFormatting sqref="T46:U46">
    <cfRule type="expression" dxfId="5" priority="4309">
      <formula>T46="探"</formula>
    </cfRule>
    <cfRule type="expression" dxfId="4" priority="4310">
      <formula>T46="年"</formula>
    </cfRule>
    <cfRule type="expression" dxfId="3" priority="4311">
      <formula>T46="事"</formula>
    </cfRule>
    <cfRule type="expression" dxfId="2" priority="4312">
      <formula>T46="病"</formula>
    </cfRule>
  </conditionalFormatting>
  <conditionalFormatting sqref="V46">
    <cfRule type="expression" dxfId="5" priority="4305">
      <formula>V46="探"</formula>
    </cfRule>
    <cfRule type="expression" dxfId="4" priority="4306">
      <formula>V46="年"</formula>
    </cfRule>
    <cfRule type="expression" dxfId="3" priority="4307">
      <formula>V46="事"</formula>
    </cfRule>
    <cfRule type="expression" dxfId="2" priority="4308">
      <formula>V46="病"</formula>
    </cfRule>
  </conditionalFormatting>
  <conditionalFormatting sqref="W46">
    <cfRule type="expression" dxfId="5" priority="4301">
      <formula>W46="探"</formula>
    </cfRule>
    <cfRule type="expression" dxfId="4" priority="4302">
      <formula>W46="年"</formula>
    </cfRule>
    <cfRule type="expression" dxfId="3" priority="4303">
      <formula>W46="事"</formula>
    </cfRule>
    <cfRule type="expression" dxfId="2" priority="4304">
      <formula>W46="病"</formula>
    </cfRule>
  </conditionalFormatting>
  <conditionalFormatting sqref="X46">
    <cfRule type="expression" dxfId="5" priority="4297">
      <formula>X46="探"</formula>
    </cfRule>
    <cfRule type="expression" dxfId="4" priority="4298">
      <formula>X46="年"</formula>
    </cfRule>
    <cfRule type="expression" dxfId="3" priority="4299">
      <formula>X46="事"</formula>
    </cfRule>
    <cfRule type="expression" dxfId="2" priority="4300">
      <formula>X46="病"</formula>
    </cfRule>
  </conditionalFormatting>
  <conditionalFormatting sqref="Y46">
    <cfRule type="expression" dxfId="5" priority="2613">
      <formula>Y46="探"</formula>
    </cfRule>
    <cfRule type="expression" dxfId="4" priority="2614">
      <formula>Y46="年"</formula>
    </cfRule>
    <cfRule type="expression" dxfId="3" priority="2615">
      <formula>Y46="事"</formula>
    </cfRule>
    <cfRule type="expression" dxfId="2" priority="2616">
      <formula>Y46="病"</formula>
    </cfRule>
  </conditionalFormatting>
  <conditionalFormatting sqref="Z46">
    <cfRule type="expression" dxfId="5" priority="2609">
      <formula>Z46="探"</formula>
    </cfRule>
    <cfRule type="expression" dxfId="4" priority="2610">
      <formula>Z46="年"</formula>
    </cfRule>
    <cfRule type="expression" dxfId="3" priority="2611">
      <formula>Z46="事"</formula>
    </cfRule>
    <cfRule type="expression" dxfId="2" priority="2612">
      <formula>Z46="病"</formula>
    </cfRule>
  </conditionalFormatting>
  <conditionalFormatting sqref="AA46">
    <cfRule type="expression" dxfId="5" priority="2617">
      <formula>AA46="探"</formula>
    </cfRule>
    <cfRule type="expression" dxfId="4" priority="2618">
      <formula>AA46="年"</formula>
    </cfRule>
    <cfRule type="expression" dxfId="3" priority="2619">
      <formula>AA46="事"</formula>
    </cfRule>
    <cfRule type="expression" dxfId="2" priority="2620">
      <formula>AA46="病"</formula>
    </cfRule>
  </conditionalFormatting>
  <conditionalFormatting sqref="AB46:AC46">
    <cfRule type="expression" dxfId="5" priority="2605">
      <formula>AB46="探"</formula>
    </cfRule>
    <cfRule type="expression" dxfId="4" priority="2606">
      <formula>AB46="年"</formula>
    </cfRule>
    <cfRule type="expression" dxfId="3" priority="2607">
      <formula>AB46="事"</formula>
    </cfRule>
    <cfRule type="expression" dxfId="2" priority="2608">
      <formula>AB46="病"</formula>
    </cfRule>
  </conditionalFormatting>
  <conditionalFormatting sqref="AD46">
    <cfRule type="expression" dxfId="5" priority="2601">
      <formula>AD46="探"</formula>
    </cfRule>
    <cfRule type="expression" dxfId="4" priority="2602">
      <formula>AD46="年"</formula>
    </cfRule>
    <cfRule type="expression" dxfId="3" priority="2603">
      <formula>AD46="事"</formula>
    </cfRule>
    <cfRule type="expression" dxfId="2" priority="2604">
      <formula>AD46="病"</formula>
    </cfRule>
  </conditionalFormatting>
  <conditionalFormatting sqref="AE46">
    <cfRule type="expression" dxfId="2" priority="872">
      <formula>AE46="病"</formula>
    </cfRule>
    <cfRule type="expression" dxfId="3" priority="871">
      <formula>AE46="事"</formula>
    </cfRule>
    <cfRule type="expression" dxfId="4" priority="870">
      <formula>AE46="年"</formula>
    </cfRule>
    <cfRule type="expression" dxfId="5" priority="869">
      <formula>AE46="探"</formula>
    </cfRule>
  </conditionalFormatting>
  <conditionalFormatting sqref="AF46">
    <cfRule type="expression" dxfId="2" priority="868">
      <formula>AF46="病"</formula>
    </cfRule>
    <cfRule type="expression" dxfId="3" priority="867">
      <formula>AF46="事"</formula>
    </cfRule>
    <cfRule type="expression" dxfId="4" priority="866">
      <formula>AF46="年"</formula>
    </cfRule>
    <cfRule type="expression" dxfId="5" priority="865">
      <formula>AF46="探"</formula>
    </cfRule>
  </conditionalFormatting>
  <conditionalFormatting sqref="AG46">
    <cfRule type="expression" dxfId="2" priority="860">
      <formula>AG46="病"</formula>
    </cfRule>
    <cfRule type="expression" dxfId="3" priority="859">
      <formula>AG46="事"</formula>
    </cfRule>
    <cfRule type="expression" dxfId="4" priority="858">
      <formula>AG46="年"</formula>
    </cfRule>
    <cfRule type="expression" dxfId="5" priority="857">
      <formula>AG46="探"</formula>
    </cfRule>
  </conditionalFormatting>
  <conditionalFormatting sqref="AH46">
    <cfRule type="expression" dxfId="2" priority="856">
      <formula>AH46="病"</formula>
    </cfRule>
    <cfRule type="expression" dxfId="3" priority="855">
      <formula>AH46="事"</formula>
    </cfRule>
    <cfRule type="expression" dxfId="4" priority="854">
      <formula>AH46="年"</formula>
    </cfRule>
    <cfRule type="expression" dxfId="5" priority="853">
      <formula>AH46="探"</formula>
    </cfRule>
  </conditionalFormatting>
  <conditionalFormatting sqref="AI46">
    <cfRule type="expression" dxfId="2" priority="864">
      <formula>AI46="病"</formula>
    </cfRule>
    <cfRule type="expression" dxfId="3" priority="863">
      <formula>AI46="事"</formula>
    </cfRule>
    <cfRule type="expression" dxfId="4" priority="862">
      <formula>AI46="年"</formula>
    </cfRule>
    <cfRule type="expression" dxfId="5" priority="861">
      <formula>AI46="探"</formula>
    </cfRule>
  </conditionalFormatting>
  <conditionalFormatting sqref="AJ46:AK46">
    <cfRule type="expression" dxfId="2" priority="852">
      <formula>AJ46="病"</formula>
    </cfRule>
    <cfRule type="expression" dxfId="3" priority="851">
      <formula>AJ46="事"</formula>
    </cfRule>
    <cfRule type="expression" dxfId="4" priority="850">
      <formula>AJ46="年"</formula>
    </cfRule>
    <cfRule type="expression" dxfId="5" priority="849">
      <formula>AJ46="探"</formula>
    </cfRule>
  </conditionalFormatting>
  <conditionalFormatting sqref="K47">
    <cfRule type="expression" dxfId="5" priority="5869">
      <formula>K47="探"</formula>
    </cfRule>
    <cfRule type="expression" dxfId="4" priority="5870">
      <formula>K47="年"</formula>
    </cfRule>
    <cfRule type="expression" dxfId="3" priority="5871">
      <formula>K47="事"</formula>
    </cfRule>
    <cfRule type="expression" dxfId="2" priority="5872">
      <formula>K47="病"</formula>
    </cfRule>
  </conditionalFormatting>
  <conditionalFormatting sqref="L47:M47">
    <cfRule type="expression" dxfId="5" priority="5861">
      <formula>L47="探"</formula>
    </cfRule>
    <cfRule type="expression" dxfId="4" priority="5862">
      <formula>L47="年"</formula>
    </cfRule>
    <cfRule type="expression" dxfId="3" priority="5863">
      <formula>L47="事"</formula>
    </cfRule>
    <cfRule type="expression" dxfId="2" priority="5864">
      <formula>L47="病"</formula>
    </cfRule>
  </conditionalFormatting>
  <conditionalFormatting sqref="N47">
    <cfRule type="expression" dxfId="5" priority="5865">
      <formula>N47="探"</formula>
    </cfRule>
    <cfRule type="expression" dxfId="4" priority="5866">
      <formula>N47="年"</formula>
    </cfRule>
    <cfRule type="expression" dxfId="3" priority="5867">
      <formula>N47="事"</formula>
    </cfRule>
    <cfRule type="expression" dxfId="2" priority="5868">
      <formula>N47="病"</formula>
    </cfRule>
  </conditionalFormatting>
  <conditionalFormatting sqref="O47">
    <cfRule type="expression" dxfId="5" priority="5017">
      <formula>O47="探"</formula>
    </cfRule>
    <cfRule type="expression" dxfId="4" priority="5018">
      <formula>O47="年"</formula>
    </cfRule>
    <cfRule type="expression" dxfId="3" priority="5019">
      <formula>O47="事"</formula>
    </cfRule>
    <cfRule type="expression" dxfId="2" priority="5020">
      <formula>O47="病"</formula>
    </cfRule>
  </conditionalFormatting>
  <conditionalFormatting sqref="P47">
    <cfRule type="expression" dxfId="5" priority="5013">
      <formula>P47="探"</formula>
    </cfRule>
    <cfRule type="expression" dxfId="4" priority="5014">
      <formula>P47="年"</formula>
    </cfRule>
    <cfRule type="expression" dxfId="3" priority="5015">
      <formula>P47="事"</formula>
    </cfRule>
    <cfRule type="expression" dxfId="2" priority="5016">
      <formula>P47="病"</formula>
    </cfRule>
  </conditionalFormatting>
  <conditionalFormatting sqref="Q47">
    <cfRule type="expression" dxfId="5" priority="5009">
      <formula>Q47="探"</formula>
    </cfRule>
    <cfRule type="expression" dxfId="4" priority="5010">
      <formula>Q47="年"</formula>
    </cfRule>
    <cfRule type="expression" dxfId="3" priority="5011">
      <formula>Q47="事"</formula>
    </cfRule>
    <cfRule type="expression" dxfId="2" priority="5012">
      <formula>Q47="病"</formula>
    </cfRule>
  </conditionalFormatting>
  <conditionalFormatting sqref="R47:S47">
    <cfRule type="expression" dxfId="5" priority="5005">
      <formula>R47="探"</formula>
    </cfRule>
    <cfRule type="expression" dxfId="4" priority="5006">
      <formula>R47="年"</formula>
    </cfRule>
    <cfRule type="expression" dxfId="3" priority="5007">
      <formula>R47="事"</formula>
    </cfRule>
    <cfRule type="expression" dxfId="2" priority="5008">
      <formula>R47="病"</formula>
    </cfRule>
  </conditionalFormatting>
  <conditionalFormatting sqref="T47:U47">
    <cfRule type="expression" dxfId="5" priority="4289">
      <formula>T47="探"</formula>
    </cfRule>
    <cfRule type="expression" dxfId="4" priority="4290">
      <formula>T47="年"</formula>
    </cfRule>
    <cfRule type="expression" dxfId="3" priority="4291">
      <formula>T47="事"</formula>
    </cfRule>
    <cfRule type="expression" dxfId="2" priority="4292">
      <formula>T47="病"</formula>
    </cfRule>
  </conditionalFormatting>
  <conditionalFormatting sqref="V47">
    <cfRule type="expression" dxfId="5" priority="4293">
      <formula>V47="探"</formula>
    </cfRule>
    <cfRule type="expression" dxfId="4" priority="4294">
      <formula>V47="年"</formula>
    </cfRule>
    <cfRule type="expression" dxfId="3" priority="4295">
      <formula>V47="事"</formula>
    </cfRule>
    <cfRule type="expression" dxfId="2" priority="4296">
      <formula>V47="病"</formula>
    </cfRule>
  </conditionalFormatting>
  <conditionalFormatting sqref="W47">
    <cfRule type="expression" dxfId="5" priority="4285">
      <formula>W47="探"</formula>
    </cfRule>
    <cfRule type="expression" dxfId="4" priority="4286">
      <formula>W47="年"</formula>
    </cfRule>
    <cfRule type="expression" dxfId="3" priority="4287">
      <formula>W47="事"</formula>
    </cfRule>
    <cfRule type="expression" dxfId="2" priority="4288">
      <formula>W47="病"</formula>
    </cfRule>
  </conditionalFormatting>
  <conditionalFormatting sqref="X47">
    <cfRule type="expression" dxfId="5" priority="4281">
      <formula>X47="探"</formula>
    </cfRule>
    <cfRule type="expression" dxfId="4" priority="4282">
      <formula>X47="年"</formula>
    </cfRule>
    <cfRule type="expression" dxfId="3" priority="4283">
      <formula>X47="事"</formula>
    </cfRule>
    <cfRule type="expression" dxfId="2" priority="4284">
      <formula>X47="病"</formula>
    </cfRule>
  </conditionalFormatting>
  <conditionalFormatting sqref="Y47">
    <cfRule type="expression" dxfId="5" priority="2593">
      <formula>Y47="探"</formula>
    </cfRule>
    <cfRule type="expression" dxfId="4" priority="2594">
      <formula>Y47="年"</formula>
    </cfRule>
    <cfRule type="expression" dxfId="3" priority="2595">
      <formula>Y47="事"</formula>
    </cfRule>
    <cfRule type="expression" dxfId="2" priority="2596">
      <formula>Y47="病"</formula>
    </cfRule>
  </conditionalFormatting>
  <conditionalFormatting sqref="Z47">
    <cfRule type="expression" dxfId="5" priority="2589">
      <formula>Z47="探"</formula>
    </cfRule>
    <cfRule type="expression" dxfId="4" priority="2590">
      <formula>Z47="年"</formula>
    </cfRule>
    <cfRule type="expression" dxfId="3" priority="2591">
      <formula>Z47="事"</formula>
    </cfRule>
    <cfRule type="expression" dxfId="2" priority="2592">
      <formula>Z47="病"</formula>
    </cfRule>
  </conditionalFormatting>
  <conditionalFormatting sqref="AA47">
    <cfRule type="expression" dxfId="5" priority="2581">
      <formula>AA47="探"</formula>
    </cfRule>
    <cfRule type="expression" dxfId="4" priority="2582">
      <formula>AA47="年"</formula>
    </cfRule>
    <cfRule type="expression" dxfId="3" priority="2583">
      <formula>AA47="事"</formula>
    </cfRule>
    <cfRule type="expression" dxfId="2" priority="2584">
      <formula>AA47="病"</formula>
    </cfRule>
  </conditionalFormatting>
  <conditionalFormatting sqref="AB47">
    <cfRule type="expression" dxfId="5" priority="2577">
      <formula>AB47="探"</formula>
    </cfRule>
    <cfRule type="expression" dxfId="4" priority="2578">
      <formula>AB47="年"</formula>
    </cfRule>
    <cfRule type="expression" dxfId="3" priority="2579">
      <formula>AB47="事"</formula>
    </cfRule>
    <cfRule type="expression" dxfId="2" priority="2580">
      <formula>AB47="病"</formula>
    </cfRule>
  </conditionalFormatting>
  <conditionalFormatting sqref="AC47">
    <cfRule type="expression" dxfId="5" priority="2585">
      <formula>AC47="探"</formula>
    </cfRule>
    <cfRule type="expression" dxfId="4" priority="2586">
      <formula>AC47="年"</formula>
    </cfRule>
    <cfRule type="expression" dxfId="3" priority="2587">
      <formula>AC47="事"</formula>
    </cfRule>
    <cfRule type="expression" dxfId="2" priority="2588">
      <formula>AC47="病"</formula>
    </cfRule>
  </conditionalFormatting>
  <conditionalFormatting sqref="AD47:AE47">
    <cfRule type="expression" dxfId="5" priority="2573">
      <formula>AD47="探"</formula>
    </cfRule>
    <cfRule type="expression" dxfId="4" priority="2574">
      <formula>AD47="年"</formula>
    </cfRule>
    <cfRule type="expression" dxfId="3" priority="2575">
      <formula>AD47="事"</formula>
    </cfRule>
    <cfRule type="expression" dxfId="2" priority="2576">
      <formula>AD47="病"</formula>
    </cfRule>
  </conditionalFormatting>
  <conditionalFormatting sqref="AF47">
    <cfRule type="expression" dxfId="5" priority="7053">
      <formula>AF47="探"</formula>
    </cfRule>
    <cfRule type="expression" dxfId="4" priority="7054">
      <formula>AF47="年"</formula>
    </cfRule>
    <cfRule type="expression" dxfId="3" priority="7055">
      <formula>AF47="事"</formula>
    </cfRule>
    <cfRule type="expression" dxfId="2" priority="7056">
      <formula>AF47="病"</formula>
    </cfRule>
  </conditionalFormatting>
  <conditionalFormatting sqref="AG47">
    <cfRule type="expression" dxfId="5" priority="7057">
      <formula>AG47="探"</formula>
    </cfRule>
    <cfRule type="expression" dxfId="4" priority="7058">
      <formula>AG47="年"</formula>
    </cfRule>
    <cfRule type="expression" dxfId="3" priority="7059">
      <formula>AG47="事"</formula>
    </cfRule>
    <cfRule type="expression" dxfId="2" priority="7060">
      <formula>AG47="病"</formula>
    </cfRule>
  </conditionalFormatting>
  <conditionalFormatting sqref="AH47:AK47">
    <cfRule type="expression" dxfId="5" priority="7049">
      <formula>AH47="探"</formula>
    </cfRule>
    <cfRule type="expression" dxfId="4" priority="7050">
      <formula>AH47="年"</formula>
    </cfRule>
    <cfRule type="expression" dxfId="3" priority="7051">
      <formula>AH47="事"</formula>
    </cfRule>
    <cfRule type="expression" dxfId="2" priority="7052">
      <formula>AH47="病"</formula>
    </cfRule>
  </conditionalFormatting>
  <conditionalFormatting sqref="G48:H48">
    <cfRule type="expression" dxfId="5" priority="9005">
      <formula>G48="探"</formula>
    </cfRule>
    <cfRule type="expression" dxfId="4" priority="9006">
      <formula>G48="年"</formula>
    </cfRule>
    <cfRule type="expression" dxfId="3" priority="9007">
      <formula>G48="事"</formula>
    </cfRule>
    <cfRule type="expression" dxfId="2" priority="9008">
      <formula>G48="病"</formula>
    </cfRule>
  </conditionalFormatting>
  <conditionalFormatting sqref="I48:J48">
    <cfRule type="expression" dxfId="5" priority="9009">
      <formula>I48="探"</formula>
    </cfRule>
    <cfRule type="expression" dxfId="4" priority="9010">
      <formula>I48="年"</formula>
    </cfRule>
    <cfRule type="expression" dxfId="3" priority="9011">
      <formula>I48="事"</formula>
    </cfRule>
    <cfRule type="expression" dxfId="2" priority="9012">
      <formula>I48="病"</formula>
    </cfRule>
  </conditionalFormatting>
  <conditionalFormatting sqref="K48:L48">
    <cfRule type="expression" dxfId="5" priority="5853">
      <formula>K48="探"</formula>
    </cfRule>
    <cfRule type="expression" dxfId="4" priority="5854">
      <formula>K48="年"</formula>
    </cfRule>
    <cfRule type="expression" dxfId="3" priority="5855">
      <formula>K48="事"</formula>
    </cfRule>
    <cfRule type="expression" dxfId="2" priority="5856">
      <formula>K48="病"</formula>
    </cfRule>
  </conditionalFormatting>
  <conditionalFormatting sqref="M48:N48">
    <cfRule type="expression" dxfId="5" priority="5857">
      <formula>M48="探"</formula>
    </cfRule>
    <cfRule type="expression" dxfId="4" priority="5858">
      <formula>M48="年"</formula>
    </cfRule>
    <cfRule type="expression" dxfId="3" priority="5859">
      <formula>M48="事"</formula>
    </cfRule>
    <cfRule type="expression" dxfId="2" priority="5860">
      <formula>M48="病"</formula>
    </cfRule>
  </conditionalFormatting>
  <conditionalFormatting sqref="O48">
    <cfRule type="expression" dxfId="5" priority="5001">
      <formula>O48="探"</formula>
    </cfRule>
    <cfRule type="expression" dxfId="4" priority="5002">
      <formula>O48="年"</formula>
    </cfRule>
    <cfRule type="expression" dxfId="3" priority="5003">
      <formula>O48="事"</formula>
    </cfRule>
    <cfRule type="expression" dxfId="2" priority="5004">
      <formula>O48="病"</formula>
    </cfRule>
  </conditionalFormatting>
  <conditionalFormatting sqref="P48">
    <cfRule type="expression" dxfId="5" priority="4997">
      <formula>P48="探"</formula>
    </cfRule>
    <cfRule type="expression" dxfId="4" priority="4998">
      <formula>P48="年"</formula>
    </cfRule>
    <cfRule type="expression" dxfId="3" priority="4999">
      <formula>P48="事"</formula>
    </cfRule>
    <cfRule type="expression" dxfId="2" priority="5000">
      <formula>P48="病"</formula>
    </cfRule>
  </conditionalFormatting>
  <conditionalFormatting sqref="Q48:R48">
    <cfRule type="expression" dxfId="5" priority="4993">
      <formula>Q48="探"</formula>
    </cfRule>
    <cfRule type="expression" dxfId="4" priority="4994">
      <formula>Q48="年"</formula>
    </cfRule>
    <cfRule type="expression" dxfId="3" priority="4995">
      <formula>Q48="事"</formula>
    </cfRule>
    <cfRule type="expression" dxfId="2" priority="4996">
      <formula>Q48="病"</formula>
    </cfRule>
  </conditionalFormatting>
  <conditionalFormatting sqref="S48">
    <cfRule type="expression" dxfId="5" priority="4989">
      <formula>S48="探"</formula>
    </cfRule>
    <cfRule type="expression" dxfId="4" priority="4990">
      <formula>S48="年"</formula>
    </cfRule>
    <cfRule type="expression" dxfId="3" priority="4991">
      <formula>S48="事"</formula>
    </cfRule>
    <cfRule type="expression" dxfId="2" priority="4992">
      <formula>S48="病"</formula>
    </cfRule>
  </conditionalFormatting>
  <conditionalFormatting sqref="T48">
    <cfRule type="expression" dxfId="5" priority="4273">
      <formula>T48="探"</formula>
    </cfRule>
    <cfRule type="expression" dxfId="4" priority="4274">
      <formula>T48="年"</formula>
    </cfRule>
    <cfRule type="expression" dxfId="3" priority="4275">
      <formula>T48="事"</formula>
    </cfRule>
    <cfRule type="expression" dxfId="2" priority="4276">
      <formula>T48="病"</formula>
    </cfRule>
  </conditionalFormatting>
  <conditionalFormatting sqref="U48:V48">
    <cfRule type="expression" dxfId="5" priority="4277">
      <formula>U48="探"</formula>
    </cfRule>
    <cfRule type="expression" dxfId="4" priority="4278">
      <formula>U48="年"</formula>
    </cfRule>
    <cfRule type="expression" dxfId="3" priority="4279">
      <formula>U48="事"</formula>
    </cfRule>
    <cfRule type="expression" dxfId="2" priority="4280">
      <formula>U48="病"</formula>
    </cfRule>
  </conditionalFormatting>
  <conditionalFormatting sqref="W48">
    <cfRule type="expression" dxfId="5" priority="4269">
      <formula>W48="探"</formula>
    </cfRule>
    <cfRule type="expression" dxfId="4" priority="4270">
      <formula>W48="年"</formula>
    </cfRule>
    <cfRule type="expression" dxfId="3" priority="4271">
      <formula>W48="事"</formula>
    </cfRule>
    <cfRule type="expression" dxfId="2" priority="4272">
      <formula>W48="病"</formula>
    </cfRule>
  </conditionalFormatting>
  <conditionalFormatting sqref="X48">
    <cfRule type="expression" dxfId="5" priority="4265">
      <formula>X48="探"</formula>
    </cfRule>
    <cfRule type="expression" dxfId="4" priority="4266">
      <formula>X48="年"</formula>
    </cfRule>
    <cfRule type="expression" dxfId="3" priority="4267">
      <formula>X48="事"</formula>
    </cfRule>
    <cfRule type="expression" dxfId="2" priority="4268">
      <formula>X48="病"</formula>
    </cfRule>
  </conditionalFormatting>
  <conditionalFormatting sqref="Y48">
    <cfRule type="expression" dxfId="5" priority="2569">
      <formula>Y48="探"</formula>
    </cfRule>
    <cfRule type="expression" dxfId="4" priority="2570">
      <formula>Y48="年"</formula>
    </cfRule>
    <cfRule type="expression" dxfId="3" priority="2571">
      <formula>Y48="事"</formula>
    </cfRule>
    <cfRule type="expression" dxfId="2" priority="2572">
      <formula>Y48="病"</formula>
    </cfRule>
  </conditionalFormatting>
  <conditionalFormatting sqref="Z48">
    <cfRule type="expression" dxfId="5" priority="2561">
      <formula>Z48="探"</formula>
    </cfRule>
    <cfRule type="expression" dxfId="4" priority="2562">
      <formula>Z48="年"</formula>
    </cfRule>
    <cfRule type="expression" dxfId="3" priority="2563">
      <formula>Z48="事"</formula>
    </cfRule>
    <cfRule type="expression" dxfId="2" priority="2564">
      <formula>Z48="病"</formula>
    </cfRule>
  </conditionalFormatting>
  <conditionalFormatting sqref="AA48">
    <cfRule type="expression" dxfId="5" priority="2557">
      <formula>AA48="探"</formula>
    </cfRule>
    <cfRule type="expression" dxfId="4" priority="2558">
      <formula>AA48="年"</formula>
    </cfRule>
    <cfRule type="expression" dxfId="3" priority="2559">
      <formula>AA48="事"</formula>
    </cfRule>
    <cfRule type="expression" dxfId="2" priority="2560">
      <formula>AA48="病"</formula>
    </cfRule>
  </conditionalFormatting>
  <conditionalFormatting sqref="AB48">
    <cfRule type="expression" dxfId="5" priority="2565">
      <formula>AB48="探"</formula>
    </cfRule>
    <cfRule type="expression" dxfId="4" priority="2566">
      <formula>AB48="年"</formula>
    </cfRule>
    <cfRule type="expression" dxfId="3" priority="2567">
      <formula>AB48="事"</formula>
    </cfRule>
    <cfRule type="expression" dxfId="2" priority="2568">
      <formula>AB48="病"</formula>
    </cfRule>
  </conditionalFormatting>
  <conditionalFormatting sqref="AC48:AD48">
    <cfRule type="expression" dxfId="5" priority="2553">
      <formula>AC48="探"</formula>
    </cfRule>
    <cfRule type="expression" dxfId="4" priority="2554">
      <formula>AC48="年"</formula>
    </cfRule>
    <cfRule type="expression" dxfId="3" priority="2555">
      <formula>AC48="事"</formula>
    </cfRule>
    <cfRule type="expression" dxfId="2" priority="2556">
      <formula>AC48="病"</formula>
    </cfRule>
  </conditionalFormatting>
  <conditionalFormatting sqref="AE48">
    <cfRule type="expression" dxfId="2" priority="848">
      <formula>AE48="病"</formula>
    </cfRule>
    <cfRule type="expression" dxfId="3" priority="847">
      <formula>AE48="事"</formula>
    </cfRule>
    <cfRule type="expression" dxfId="4" priority="846">
      <formula>AE48="年"</formula>
    </cfRule>
    <cfRule type="expression" dxfId="5" priority="845">
      <formula>AE48="探"</formula>
    </cfRule>
  </conditionalFormatting>
  <conditionalFormatting sqref="AF48">
    <cfRule type="expression" dxfId="2" priority="844">
      <formula>AF48="病"</formula>
    </cfRule>
    <cfRule type="expression" dxfId="3" priority="843">
      <formula>AF48="事"</formula>
    </cfRule>
    <cfRule type="expression" dxfId="4" priority="842">
      <formula>AF48="年"</formula>
    </cfRule>
    <cfRule type="expression" dxfId="5" priority="841">
      <formula>AF48="探"</formula>
    </cfRule>
  </conditionalFormatting>
  <conditionalFormatting sqref="AG48">
    <cfRule type="expression" dxfId="2" priority="840">
      <formula>AG48="病"</formula>
    </cfRule>
    <cfRule type="expression" dxfId="3" priority="839">
      <formula>AG48="事"</formula>
    </cfRule>
    <cfRule type="expression" dxfId="4" priority="838">
      <formula>AG48="年"</formula>
    </cfRule>
    <cfRule type="expression" dxfId="5" priority="837">
      <formula>AG48="探"</formula>
    </cfRule>
  </conditionalFormatting>
  <conditionalFormatting sqref="AH48">
    <cfRule type="expression" dxfId="2" priority="832">
      <formula>AH48="病"</formula>
    </cfRule>
    <cfRule type="expression" dxfId="3" priority="831">
      <formula>AH48="事"</formula>
    </cfRule>
    <cfRule type="expression" dxfId="4" priority="830">
      <formula>AH48="年"</formula>
    </cfRule>
    <cfRule type="expression" dxfId="5" priority="829">
      <formula>AH48="探"</formula>
    </cfRule>
  </conditionalFormatting>
  <conditionalFormatting sqref="AI48">
    <cfRule type="expression" dxfId="2" priority="828">
      <formula>AI48="病"</formula>
    </cfRule>
    <cfRule type="expression" dxfId="3" priority="827">
      <formula>AI48="事"</formula>
    </cfRule>
    <cfRule type="expression" dxfId="4" priority="826">
      <formula>AI48="年"</formula>
    </cfRule>
    <cfRule type="expression" dxfId="5" priority="825">
      <formula>AI48="探"</formula>
    </cfRule>
  </conditionalFormatting>
  <conditionalFormatting sqref="AJ48">
    <cfRule type="expression" dxfId="2" priority="836">
      <formula>AJ48="病"</formula>
    </cfRule>
    <cfRule type="expression" dxfId="3" priority="835">
      <formula>AJ48="事"</formula>
    </cfRule>
    <cfRule type="expression" dxfId="4" priority="834">
      <formula>AJ48="年"</formula>
    </cfRule>
    <cfRule type="expression" dxfId="5" priority="833">
      <formula>AJ48="探"</formula>
    </cfRule>
  </conditionalFormatting>
  <conditionalFormatting sqref="AK48">
    <cfRule type="expression" dxfId="2" priority="824">
      <formula>AK48="病"</formula>
    </cfRule>
    <cfRule type="expression" dxfId="3" priority="823">
      <formula>AK48="事"</formula>
    </cfRule>
    <cfRule type="expression" dxfId="4" priority="822">
      <formula>AK48="年"</formula>
    </cfRule>
    <cfRule type="expression" dxfId="5" priority="821">
      <formula>AK48="探"</formula>
    </cfRule>
  </conditionalFormatting>
  <conditionalFormatting sqref="K49:L49">
    <cfRule type="expression" dxfId="5" priority="5849">
      <formula>K49="探"</formula>
    </cfRule>
    <cfRule type="expression" dxfId="4" priority="5850">
      <formula>K49="年"</formula>
    </cfRule>
    <cfRule type="expression" dxfId="3" priority="5851">
      <formula>K49="事"</formula>
    </cfRule>
    <cfRule type="expression" dxfId="2" priority="5852">
      <formula>K49="病"</formula>
    </cfRule>
  </conditionalFormatting>
  <conditionalFormatting sqref="M49:N49">
    <cfRule type="expression" dxfId="5" priority="5845">
      <formula>M49="探"</formula>
    </cfRule>
    <cfRule type="expression" dxfId="4" priority="5846">
      <formula>M49="年"</formula>
    </cfRule>
    <cfRule type="expression" dxfId="3" priority="5847">
      <formula>M49="事"</formula>
    </cfRule>
    <cfRule type="expression" dxfId="2" priority="5848">
      <formula>M49="病"</formula>
    </cfRule>
  </conditionalFormatting>
  <conditionalFormatting sqref="O49">
    <cfRule type="expression" dxfId="5" priority="8681">
      <formula>O49="探"</formula>
    </cfRule>
    <cfRule type="expression" dxfId="4" priority="8682">
      <formula>O49="年"</formula>
    </cfRule>
    <cfRule type="expression" dxfId="3" priority="8683">
      <formula>O49="事"</formula>
    </cfRule>
    <cfRule type="expression" dxfId="2" priority="8684">
      <formula>O49="病"</formula>
    </cfRule>
  </conditionalFormatting>
  <conditionalFormatting sqref="P49:T49">
    <cfRule type="expression" dxfId="5" priority="4261">
      <formula>P49="探"</formula>
    </cfRule>
    <cfRule type="expression" dxfId="4" priority="4262">
      <formula>P49="年"</formula>
    </cfRule>
    <cfRule type="expression" dxfId="3" priority="4263">
      <formula>P49="事"</formula>
    </cfRule>
    <cfRule type="expression" dxfId="2" priority="4264">
      <formula>P49="病"</formula>
    </cfRule>
  </conditionalFormatting>
  <conditionalFormatting sqref="U49:Y49">
    <cfRule type="expression" dxfId="5" priority="8677">
      <formula>U49="探"</formula>
    </cfRule>
    <cfRule type="expression" dxfId="4" priority="8678">
      <formula>U49="年"</formula>
    </cfRule>
    <cfRule type="expression" dxfId="3" priority="8679">
      <formula>U49="事"</formula>
    </cfRule>
    <cfRule type="expression" dxfId="2" priority="8680">
      <formula>U49="病"</formula>
    </cfRule>
  </conditionalFormatting>
  <conditionalFormatting sqref="Z49:AD49">
    <cfRule type="expression" dxfId="5" priority="8233">
      <formula>Z49="探"</formula>
    </cfRule>
    <cfRule type="expression" dxfId="4" priority="8234">
      <formula>Z49="年"</formula>
    </cfRule>
    <cfRule type="expression" dxfId="3" priority="8235">
      <formula>Z49="事"</formula>
    </cfRule>
    <cfRule type="expression" dxfId="2" priority="8236">
      <formula>Z49="病"</formula>
    </cfRule>
  </conditionalFormatting>
  <conditionalFormatting sqref="AE49:AF49">
    <cfRule type="expression" dxfId="2" priority="816">
      <formula>AE49="病"</formula>
    </cfRule>
    <cfRule type="expression" dxfId="3" priority="815">
      <formula>AE49="事"</formula>
    </cfRule>
    <cfRule type="expression" dxfId="4" priority="814">
      <formula>AE49="年"</formula>
    </cfRule>
    <cfRule type="expression" dxfId="5" priority="813">
      <formula>AE49="探"</formula>
    </cfRule>
  </conditionalFormatting>
  <conditionalFormatting sqref="AG49:AK49">
    <cfRule type="expression" dxfId="2" priority="820">
      <formula>AG49="病"</formula>
    </cfRule>
    <cfRule type="expression" dxfId="3" priority="819">
      <formula>AG49="事"</formula>
    </cfRule>
    <cfRule type="expression" dxfId="4" priority="818">
      <formula>AG49="年"</formula>
    </cfRule>
    <cfRule type="expression" dxfId="5" priority="817">
      <formula>AG49="探"</formula>
    </cfRule>
  </conditionalFormatting>
  <conditionalFormatting sqref="K50:L50">
    <cfRule type="expression" dxfId="5" priority="5837">
      <formula>K50="探"</formula>
    </cfRule>
    <cfRule type="expression" dxfId="4" priority="5838">
      <formula>K50="年"</formula>
    </cfRule>
    <cfRule type="expression" dxfId="3" priority="5839">
      <formula>K50="事"</formula>
    </cfRule>
    <cfRule type="expression" dxfId="2" priority="5840">
      <formula>K50="病"</formula>
    </cfRule>
  </conditionalFormatting>
  <conditionalFormatting sqref="M50:N50">
    <cfRule type="expression" dxfId="5" priority="5841">
      <formula>M50="探"</formula>
    </cfRule>
    <cfRule type="expression" dxfId="4" priority="5842">
      <formula>M50="年"</formula>
    </cfRule>
    <cfRule type="expression" dxfId="3" priority="5843">
      <formula>M50="事"</formula>
    </cfRule>
    <cfRule type="expression" dxfId="2" priority="5844">
      <formula>M50="病"</formula>
    </cfRule>
  </conditionalFormatting>
  <conditionalFormatting sqref="O50:P50">
    <cfRule type="expression" dxfId="5" priority="4981">
      <formula>O50="探"</formula>
    </cfRule>
    <cfRule type="expression" dxfId="4" priority="4982">
      <formula>O50="年"</formula>
    </cfRule>
    <cfRule type="expression" dxfId="3" priority="4983">
      <formula>O50="事"</formula>
    </cfRule>
    <cfRule type="expression" dxfId="2" priority="4984">
      <formula>O50="病"</formula>
    </cfRule>
  </conditionalFormatting>
  <conditionalFormatting sqref="Q50:R50">
    <cfRule type="expression" dxfId="5" priority="4985">
      <formula>Q50="探"</formula>
    </cfRule>
    <cfRule type="expression" dxfId="4" priority="4986">
      <formula>Q50="年"</formula>
    </cfRule>
    <cfRule type="expression" dxfId="3" priority="4987">
      <formula>Q50="事"</formula>
    </cfRule>
    <cfRule type="expression" dxfId="2" priority="4988">
      <formula>Q50="病"</formula>
    </cfRule>
  </conditionalFormatting>
  <conditionalFormatting sqref="S50:T50">
    <cfRule type="expression" dxfId="5" priority="8673">
      <formula>S50="探"</formula>
    </cfRule>
    <cfRule type="expression" dxfId="4" priority="8674">
      <formula>S50="年"</formula>
    </cfRule>
    <cfRule type="expression" dxfId="3" priority="8675">
      <formula>S50="事"</formula>
    </cfRule>
    <cfRule type="expression" dxfId="2" priority="8676">
      <formula>S50="病"</formula>
    </cfRule>
  </conditionalFormatting>
  <conditionalFormatting sqref="U50">
    <cfRule type="expression" dxfId="5" priority="8409">
      <formula>U50="探"</formula>
    </cfRule>
    <cfRule type="expression" dxfId="4" priority="8410">
      <formula>U50="年"</formula>
    </cfRule>
    <cfRule type="expression" dxfId="3" priority="8411">
      <formula>U50="事"</formula>
    </cfRule>
    <cfRule type="expression" dxfId="2" priority="8412">
      <formula>U50="病"</formula>
    </cfRule>
  </conditionalFormatting>
  <conditionalFormatting sqref="V50:X50">
    <cfRule type="expression" dxfId="5" priority="8405">
      <formula>V50="探"</formula>
    </cfRule>
    <cfRule type="expression" dxfId="4" priority="8406">
      <formula>V50="年"</formula>
    </cfRule>
    <cfRule type="expression" dxfId="3" priority="8407">
      <formula>V50="事"</formula>
    </cfRule>
    <cfRule type="expression" dxfId="2" priority="8408">
      <formula>V50="病"</formula>
    </cfRule>
  </conditionalFormatting>
  <conditionalFormatting sqref="Y50">
    <cfRule type="expression" dxfId="5" priority="8229">
      <formula>Y50="探"</formula>
    </cfRule>
    <cfRule type="expression" dxfId="4" priority="8230">
      <formula>Y50="年"</formula>
    </cfRule>
    <cfRule type="expression" dxfId="3" priority="8231">
      <formula>Y50="事"</formula>
    </cfRule>
    <cfRule type="expression" dxfId="2" priority="8232">
      <formula>Y50="病"</formula>
    </cfRule>
  </conditionalFormatting>
  <conditionalFormatting sqref="Z50:AA50">
    <cfRule type="expression" dxfId="5" priority="8225">
      <formula>Z50="探"</formula>
    </cfRule>
    <cfRule type="expression" dxfId="4" priority="8226">
      <formula>Z50="年"</formula>
    </cfRule>
    <cfRule type="expression" dxfId="3" priority="8227">
      <formula>Z50="事"</formula>
    </cfRule>
    <cfRule type="expression" dxfId="2" priority="8228">
      <formula>Z50="病"</formula>
    </cfRule>
  </conditionalFormatting>
  <conditionalFormatting sqref="AB50">
    <cfRule type="expression" dxfId="5" priority="8221">
      <formula>AB50="探"</formula>
    </cfRule>
    <cfRule type="expression" dxfId="4" priority="8222">
      <formula>AB50="年"</formula>
    </cfRule>
    <cfRule type="expression" dxfId="3" priority="8223">
      <formula>AB50="事"</formula>
    </cfRule>
    <cfRule type="expression" dxfId="2" priority="8224">
      <formula>AB50="病"</formula>
    </cfRule>
  </conditionalFormatting>
  <conditionalFormatting sqref="AC50">
    <cfRule type="expression" dxfId="5" priority="8217">
      <formula>AC50="探"</formula>
    </cfRule>
    <cfRule type="expression" dxfId="4" priority="8218">
      <formula>AC50="年"</formula>
    </cfRule>
    <cfRule type="expression" dxfId="3" priority="8219">
      <formula>AC50="事"</formula>
    </cfRule>
    <cfRule type="expression" dxfId="2" priority="8220">
      <formula>AC50="病"</formula>
    </cfRule>
  </conditionalFormatting>
  <conditionalFormatting sqref="AD50:AE50">
    <cfRule type="expression" dxfId="5" priority="8213">
      <formula>AD50="探"</formula>
    </cfRule>
    <cfRule type="expression" dxfId="4" priority="8214">
      <formula>AD50="年"</formula>
    </cfRule>
    <cfRule type="expression" dxfId="3" priority="8215">
      <formula>AD50="事"</formula>
    </cfRule>
    <cfRule type="expression" dxfId="2" priority="8216">
      <formula>AD50="病"</formula>
    </cfRule>
  </conditionalFormatting>
  <conditionalFormatting sqref="AF50">
    <cfRule type="expression" dxfId="2" priority="812">
      <formula>AF50="病"</formula>
    </cfRule>
    <cfRule type="expression" dxfId="3" priority="811">
      <formula>AF50="事"</formula>
    </cfRule>
    <cfRule type="expression" dxfId="4" priority="810">
      <formula>AF50="年"</formula>
    </cfRule>
    <cfRule type="expression" dxfId="5" priority="809">
      <formula>AF50="探"</formula>
    </cfRule>
  </conditionalFormatting>
  <conditionalFormatting sqref="AG50">
    <cfRule type="expression" dxfId="2" priority="808">
      <formula>AG50="病"</formula>
    </cfRule>
    <cfRule type="expression" dxfId="3" priority="807">
      <formula>AG50="事"</formula>
    </cfRule>
    <cfRule type="expression" dxfId="4" priority="806">
      <formula>AG50="年"</formula>
    </cfRule>
    <cfRule type="expression" dxfId="5" priority="805">
      <formula>AG50="探"</formula>
    </cfRule>
  </conditionalFormatting>
  <conditionalFormatting sqref="AH50:AI50">
    <cfRule type="expression" dxfId="2" priority="804">
      <formula>AH50="病"</formula>
    </cfRule>
    <cfRule type="expression" dxfId="3" priority="803">
      <formula>AH50="事"</formula>
    </cfRule>
    <cfRule type="expression" dxfId="4" priority="802">
      <formula>AH50="年"</formula>
    </cfRule>
    <cfRule type="expression" dxfId="5" priority="801">
      <formula>AH50="探"</formula>
    </cfRule>
  </conditionalFormatting>
  <conditionalFormatting sqref="S51:W51">
    <cfRule type="expression" dxfId="5" priority="8669">
      <formula>S51="探"</formula>
    </cfRule>
    <cfRule type="expression" dxfId="4" priority="8670">
      <formula>S51="年"</formula>
    </cfRule>
    <cfRule type="expression" dxfId="3" priority="8671">
      <formula>S51="事"</formula>
    </cfRule>
    <cfRule type="expression" dxfId="2" priority="8672">
      <formula>S51="病"</formula>
    </cfRule>
  </conditionalFormatting>
  <conditionalFormatting sqref="X51">
    <cfRule type="expression" dxfId="5" priority="8401">
      <formula>X51="探"</formula>
    </cfRule>
    <cfRule type="expression" dxfId="4" priority="8402">
      <formula>X51="年"</formula>
    </cfRule>
    <cfRule type="expression" dxfId="3" priority="8403">
      <formula>X51="事"</formula>
    </cfRule>
    <cfRule type="expression" dxfId="2" priority="8404">
      <formula>X51="病"</formula>
    </cfRule>
  </conditionalFormatting>
  <conditionalFormatting sqref="Y51">
    <cfRule type="expression" dxfId="5" priority="8209">
      <formula>Y51="探"</formula>
    </cfRule>
    <cfRule type="expression" dxfId="4" priority="8210">
      <formula>Y51="年"</formula>
    </cfRule>
    <cfRule type="expression" dxfId="3" priority="8211">
      <formula>Y51="事"</formula>
    </cfRule>
    <cfRule type="expression" dxfId="2" priority="8212">
      <formula>Y51="病"</formula>
    </cfRule>
  </conditionalFormatting>
  <conditionalFormatting sqref="Z51:AD51">
    <cfRule type="expression" dxfId="5" priority="8205">
      <formula>Z51="探"</formula>
    </cfRule>
    <cfRule type="expression" dxfId="4" priority="8206">
      <formula>Z51="年"</formula>
    </cfRule>
    <cfRule type="expression" dxfId="3" priority="8207">
      <formula>Z51="事"</formula>
    </cfRule>
    <cfRule type="expression" dxfId="2" priority="8208">
      <formula>Z51="病"</formula>
    </cfRule>
  </conditionalFormatting>
  <conditionalFormatting sqref="AE51">
    <cfRule type="expression" dxfId="5" priority="8201">
      <formula>AE51="探"</formula>
    </cfRule>
    <cfRule type="expression" dxfId="4" priority="8202">
      <formula>AE51="年"</formula>
    </cfRule>
    <cfRule type="expression" dxfId="3" priority="8203">
      <formula>AE51="事"</formula>
    </cfRule>
    <cfRule type="expression" dxfId="2" priority="8204">
      <formula>AE51="病"</formula>
    </cfRule>
  </conditionalFormatting>
  <conditionalFormatting sqref="AF51">
    <cfRule type="expression" dxfId="5" priority="7029">
      <formula>AF51="探"</formula>
    </cfRule>
    <cfRule type="expression" dxfId="4" priority="7030">
      <formula>AF51="年"</formula>
    </cfRule>
    <cfRule type="expression" dxfId="3" priority="7031">
      <formula>AF51="事"</formula>
    </cfRule>
    <cfRule type="expression" dxfId="2" priority="7032">
      <formula>AF51="病"</formula>
    </cfRule>
  </conditionalFormatting>
  <conditionalFormatting sqref="AG51">
    <cfRule type="expression" dxfId="5" priority="7025">
      <formula>AG51="探"</formula>
    </cfRule>
    <cfRule type="expression" dxfId="4" priority="7026">
      <formula>AG51="年"</formula>
    </cfRule>
    <cfRule type="expression" dxfId="3" priority="7027">
      <formula>AG51="事"</formula>
    </cfRule>
    <cfRule type="expression" dxfId="2" priority="7028">
      <formula>AG51="病"</formula>
    </cfRule>
  </conditionalFormatting>
  <conditionalFormatting sqref="K52">
    <cfRule type="expression" dxfId="5" priority="5829">
      <formula>K52="探"</formula>
    </cfRule>
    <cfRule type="expression" dxfId="4" priority="5830">
      <formula>K52="年"</formula>
    </cfRule>
    <cfRule type="expression" dxfId="3" priority="5831">
      <formula>K52="事"</formula>
    </cfRule>
    <cfRule type="expression" dxfId="2" priority="5832">
      <formula>K52="病"</formula>
    </cfRule>
  </conditionalFormatting>
  <conditionalFormatting sqref="L52:M52">
    <cfRule type="expression" dxfId="5" priority="5821">
      <formula>L52="探"</formula>
    </cfRule>
    <cfRule type="expression" dxfId="4" priority="5822">
      <formula>L52="年"</formula>
    </cfRule>
    <cfRule type="expression" dxfId="3" priority="5823">
      <formula>L52="事"</formula>
    </cfRule>
    <cfRule type="expression" dxfId="2" priority="5824">
      <formula>L52="病"</formula>
    </cfRule>
  </conditionalFormatting>
  <conditionalFormatting sqref="N52">
    <cfRule type="expression" dxfId="5" priority="5825">
      <formula>N52="探"</formula>
    </cfRule>
    <cfRule type="expression" dxfId="4" priority="5826">
      <formula>N52="年"</formula>
    </cfRule>
    <cfRule type="expression" dxfId="3" priority="5827">
      <formula>N52="事"</formula>
    </cfRule>
    <cfRule type="expression" dxfId="2" priority="5828">
      <formula>N52="病"</formula>
    </cfRule>
  </conditionalFormatting>
  <conditionalFormatting sqref="O52">
    <cfRule type="expression" dxfId="5" priority="4977">
      <formula>O52="探"</formula>
    </cfRule>
    <cfRule type="expression" dxfId="4" priority="4978">
      <formula>O52="年"</formula>
    </cfRule>
    <cfRule type="expression" dxfId="3" priority="4979">
      <formula>O52="事"</formula>
    </cfRule>
    <cfRule type="expression" dxfId="2" priority="4980">
      <formula>O52="病"</formula>
    </cfRule>
  </conditionalFormatting>
  <conditionalFormatting sqref="P52:Q52">
    <cfRule type="expression" dxfId="5" priority="4969">
      <formula>P52="探"</formula>
    </cfRule>
    <cfRule type="expression" dxfId="4" priority="4970">
      <formula>P52="年"</formula>
    </cfRule>
    <cfRule type="expression" dxfId="3" priority="4971">
      <formula>P52="事"</formula>
    </cfRule>
    <cfRule type="expression" dxfId="2" priority="4972">
      <formula>P52="病"</formula>
    </cfRule>
  </conditionalFormatting>
  <conditionalFormatting sqref="R52">
    <cfRule type="expression" dxfId="5" priority="4973">
      <formula>R52="探"</formula>
    </cfRule>
    <cfRule type="expression" dxfId="4" priority="4974">
      <formula>R52="年"</formula>
    </cfRule>
    <cfRule type="expression" dxfId="3" priority="4975">
      <formula>R52="事"</formula>
    </cfRule>
    <cfRule type="expression" dxfId="2" priority="4976">
      <formula>R52="病"</formula>
    </cfRule>
  </conditionalFormatting>
  <conditionalFormatting sqref="S52">
    <cfRule type="expression" dxfId="5" priority="4965">
      <formula>S52="探"</formula>
    </cfRule>
    <cfRule type="expression" dxfId="4" priority="4966">
      <formula>S52="年"</formula>
    </cfRule>
    <cfRule type="expression" dxfId="3" priority="4967">
      <formula>S52="事"</formula>
    </cfRule>
    <cfRule type="expression" dxfId="2" priority="4968">
      <formula>S52="病"</formula>
    </cfRule>
  </conditionalFormatting>
  <conditionalFormatting sqref="T52">
    <cfRule type="expression" dxfId="5" priority="4961">
      <formula>T52="探"</formula>
    </cfRule>
    <cfRule type="expression" dxfId="4" priority="4962">
      <formula>T52="年"</formula>
    </cfRule>
    <cfRule type="expression" dxfId="3" priority="4963">
      <formula>T52="事"</formula>
    </cfRule>
    <cfRule type="expression" dxfId="2" priority="4964">
      <formula>T52="病"</formula>
    </cfRule>
  </conditionalFormatting>
  <conditionalFormatting sqref="U52">
    <cfRule type="expression" dxfId="5" priority="4253">
      <formula>U52="探"</formula>
    </cfRule>
    <cfRule type="expression" dxfId="4" priority="4254">
      <formula>U52="年"</formula>
    </cfRule>
    <cfRule type="expression" dxfId="3" priority="4255">
      <formula>U52="事"</formula>
    </cfRule>
    <cfRule type="expression" dxfId="2" priority="4256">
      <formula>U52="病"</formula>
    </cfRule>
  </conditionalFormatting>
  <conditionalFormatting sqref="V52">
    <cfRule type="expression" dxfId="5" priority="4257">
      <formula>V52="探"</formula>
    </cfRule>
    <cfRule type="expression" dxfId="4" priority="4258">
      <formula>V52="年"</formula>
    </cfRule>
    <cfRule type="expression" dxfId="3" priority="4259">
      <formula>V52="事"</formula>
    </cfRule>
    <cfRule type="expression" dxfId="2" priority="4260">
      <formula>V52="病"</formula>
    </cfRule>
  </conditionalFormatting>
  <conditionalFormatting sqref="W52">
    <cfRule type="expression" dxfId="5" priority="4249">
      <formula>W52="探"</formula>
    </cfRule>
    <cfRule type="expression" dxfId="4" priority="4250">
      <formula>W52="年"</formula>
    </cfRule>
    <cfRule type="expression" dxfId="3" priority="4251">
      <formula>W52="事"</formula>
    </cfRule>
    <cfRule type="expression" dxfId="2" priority="4252">
      <formula>W52="病"</formula>
    </cfRule>
  </conditionalFormatting>
  <conditionalFormatting sqref="X52">
    <cfRule type="expression" dxfId="5" priority="4245">
      <formula>X52="探"</formula>
    </cfRule>
    <cfRule type="expression" dxfId="4" priority="4246">
      <formula>X52="年"</formula>
    </cfRule>
    <cfRule type="expression" dxfId="3" priority="4247">
      <formula>X52="事"</formula>
    </cfRule>
    <cfRule type="expression" dxfId="2" priority="4248">
      <formula>X52="病"</formula>
    </cfRule>
  </conditionalFormatting>
  <conditionalFormatting sqref="Y52:Z52">
    <cfRule type="expression" dxfId="2" priority="1992">
      <formula>Y52="病"</formula>
    </cfRule>
    <cfRule type="expression" dxfId="3" priority="1991">
      <formula>Y52="事"</formula>
    </cfRule>
    <cfRule type="expression" dxfId="4" priority="1990">
      <formula>Y52="年"</formula>
    </cfRule>
    <cfRule type="expression" dxfId="5" priority="1989">
      <formula>Y52="探"</formula>
    </cfRule>
  </conditionalFormatting>
  <conditionalFormatting sqref="AA52">
    <cfRule type="expression" dxfId="2" priority="1996">
      <formula>AA52="病"</formula>
    </cfRule>
    <cfRule type="expression" dxfId="3" priority="1995">
      <formula>AA52="事"</formula>
    </cfRule>
    <cfRule type="expression" dxfId="4" priority="1994">
      <formula>AA52="年"</formula>
    </cfRule>
    <cfRule type="expression" dxfId="5" priority="1993">
      <formula>AA52="探"</formula>
    </cfRule>
  </conditionalFormatting>
  <conditionalFormatting sqref="AB52">
    <cfRule type="expression" dxfId="2" priority="1988">
      <formula>AB52="病"</formula>
    </cfRule>
    <cfRule type="expression" dxfId="3" priority="1987">
      <formula>AB52="事"</formula>
    </cfRule>
    <cfRule type="expression" dxfId="4" priority="1986">
      <formula>AB52="年"</formula>
    </cfRule>
    <cfRule type="expression" dxfId="5" priority="1985">
      <formula>AB52="探"</formula>
    </cfRule>
  </conditionalFormatting>
  <conditionalFormatting sqref="AC52">
    <cfRule type="expression" dxfId="2" priority="1984">
      <formula>AC52="病"</formula>
    </cfRule>
    <cfRule type="expression" dxfId="3" priority="1983">
      <formula>AC52="事"</formula>
    </cfRule>
    <cfRule type="expression" dxfId="4" priority="1982">
      <formula>AC52="年"</formula>
    </cfRule>
    <cfRule type="expression" dxfId="5" priority="1981">
      <formula>AC52="探"</formula>
    </cfRule>
  </conditionalFormatting>
  <conditionalFormatting sqref="AD52">
    <cfRule type="expression" dxfId="2" priority="1980">
      <formula>AD52="病"</formula>
    </cfRule>
    <cfRule type="expression" dxfId="3" priority="1979">
      <formula>AD52="事"</formula>
    </cfRule>
    <cfRule type="expression" dxfId="4" priority="1978">
      <formula>AD52="年"</formula>
    </cfRule>
    <cfRule type="expression" dxfId="5" priority="1977">
      <formula>AD52="探"</formula>
    </cfRule>
  </conditionalFormatting>
  <conditionalFormatting sqref="AE52">
    <cfRule type="expression" dxfId="5" priority="8197">
      <formula>AE52="探"</formula>
    </cfRule>
    <cfRule type="expression" dxfId="4" priority="8198">
      <formula>AE52="年"</formula>
    </cfRule>
    <cfRule type="expression" dxfId="3" priority="8199">
      <formula>AE52="事"</formula>
    </cfRule>
    <cfRule type="expression" dxfId="2" priority="8200">
      <formula>AE52="病"</formula>
    </cfRule>
  </conditionalFormatting>
  <conditionalFormatting sqref="AF52">
    <cfRule type="expression" dxfId="5" priority="7009">
      <formula>AF52="探"</formula>
    </cfRule>
    <cfRule type="expression" dxfId="4" priority="7010">
      <formula>AF52="年"</formula>
    </cfRule>
    <cfRule type="expression" dxfId="3" priority="7011">
      <formula>AF52="事"</formula>
    </cfRule>
    <cfRule type="expression" dxfId="2" priority="7012">
      <formula>AF52="病"</formula>
    </cfRule>
  </conditionalFormatting>
  <conditionalFormatting sqref="AG52">
    <cfRule type="expression" dxfId="5" priority="7013">
      <formula>AG52="探"</formula>
    </cfRule>
    <cfRule type="expression" dxfId="4" priority="7014">
      <formula>AG52="年"</formula>
    </cfRule>
    <cfRule type="expression" dxfId="3" priority="7015">
      <formula>AG52="事"</formula>
    </cfRule>
    <cfRule type="expression" dxfId="2" priority="7016">
      <formula>AG52="病"</formula>
    </cfRule>
  </conditionalFormatting>
  <conditionalFormatting sqref="AH52:AL52">
    <cfRule type="expression" dxfId="5" priority="7005">
      <formula>AH52="探"</formula>
    </cfRule>
    <cfRule type="expression" dxfId="4" priority="7006">
      <formula>AH52="年"</formula>
    </cfRule>
    <cfRule type="expression" dxfId="3" priority="7007">
      <formula>AH52="事"</formula>
    </cfRule>
    <cfRule type="expression" dxfId="2" priority="7008">
      <formula>AH52="病"</formula>
    </cfRule>
  </conditionalFormatting>
  <conditionalFormatting sqref="K53">
    <cfRule type="expression" dxfId="5" priority="5817">
      <formula>K53="探"</formula>
    </cfRule>
    <cfRule type="expression" dxfId="4" priority="5818">
      <formula>K53="年"</formula>
    </cfRule>
    <cfRule type="expression" dxfId="3" priority="5819">
      <formula>K53="事"</formula>
    </cfRule>
    <cfRule type="expression" dxfId="2" priority="5820">
      <formula>K53="病"</formula>
    </cfRule>
  </conditionalFormatting>
  <conditionalFormatting sqref="L53:M53">
    <cfRule type="expression" dxfId="5" priority="5813">
      <formula>L53="探"</formula>
    </cfRule>
    <cfRule type="expression" dxfId="4" priority="5814">
      <formula>L53="年"</formula>
    </cfRule>
    <cfRule type="expression" dxfId="3" priority="5815">
      <formula>L53="事"</formula>
    </cfRule>
    <cfRule type="expression" dxfId="2" priority="5816">
      <formula>L53="病"</formula>
    </cfRule>
  </conditionalFormatting>
  <conditionalFormatting sqref="N53">
    <cfRule type="expression" dxfId="5" priority="5809">
      <formula>N53="探"</formula>
    </cfRule>
    <cfRule type="expression" dxfId="4" priority="5810">
      <formula>N53="年"</formula>
    </cfRule>
    <cfRule type="expression" dxfId="3" priority="5811">
      <formula>N53="事"</formula>
    </cfRule>
    <cfRule type="expression" dxfId="2" priority="5812">
      <formula>N53="病"</formula>
    </cfRule>
  </conditionalFormatting>
  <conditionalFormatting sqref="O53">
    <cfRule type="expression" dxfId="5" priority="4953">
      <formula>O53="探"</formula>
    </cfRule>
    <cfRule type="expression" dxfId="4" priority="4954">
      <formula>O53="年"</formula>
    </cfRule>
    <cfRule type="expression" dxfId="3" priority="4955">
      <formula>O53="事"</formula>
    </cfRule>
    <cfRule type="expression" dxfId="2" priority="4956">
      <formula>O53="病"</formula>
    </cfRule>
  </conditionalFormatting>
  <conditionalFormatting sqref="P53">
    <cfRule type="expression" dxfId="5" priority="4957">
      <formula>P53="探"</formula>
    </cfRule>
    <cfRule type="expression" dxfId="4" priority="4958">
      <formula>P53="年"</formula>
    </cfRule>
    <cfRule type="expression" dxfId="3" priority="4959">
      <formula>P53="事"</formula>
    </cfRule>
    <cfRule type="expression" dxfId="2" priority="4960">
      <formula>P53="病"</formula>
    </cfRule>
  </conditionalFormatting>
  <conditionalFormatting sqref="Q53">
    <cfRule type="expression" dxfId="5" priority="4949">
      <formula>Q53="探"</formula>
    </cfRule>
    <cfRule type="expression" dxfId="4" priority="4950">
      <formula>Q53="年"</formula>
    </cfRule>
    <cfRule type="expression" dxfId="3" priority="4951">
      <formula>Q53="事"</formula>
    </cfRule>
    <cfRule type="expression" dxfId="2" priority="4952">
      <formula>Q53="病"</formula>
    </cfRule>
  </conditionalFormatting>
  <conditionalFormatting sqref="R53:S53">
    <cfRule type="expression" dxfId="5" priority="4941">
      <formula>R53="探"</formula>
    </cfRule>
    <cfRule type="expression" dxfId="4" priority="4942">
      <formula>R53="年"</formula>
    </cfRule>
    <cfRule type="expression" dxfId="3" priority="4943">
      <formula>R53="事"</formula>
    </cfRule>
    <cfRule type="expression" dxfId="2" priority="4944">
      <formula>R53="病"</formula>
    </cfRule>
  </conditionalFormatting>
  <conditionalFormatting sqref="T53">
    <cfRule type="expression" dxfId="5" priority="4945">
      <formula>T53="探"</formula>
    </cfRule>
    <cfRule type="expression" dxfId="4" priority="4946">
      <formula>T53="年"</formula>
    </cfRule>
    <cfRule type="expression" dxfId="3" priority="4947">
      <formula>T53="事"</formula>
    </cfRule>
    <cfRule type="expression" dxfId="2" priority="4948">
      <formula>T53="病"</formula>
    </cfRule>
  </conditionalFormatting>
  <conditionalFormatting sqref="U53:V53">
    <cfRule type="expression" dxfId="5" priority="4241">
      <formula>U53="探"</formula>
    </cfRule>
    <cfRule type="expression" dxfId="4" priority="4242">
      <formula>U53="年"</formula>
    </cfRule>
    <cfRule type="expression" dxfId="3" priority="4243">
      <formula>U53="事"</formula>
    </cfRule>
    <cfRule type="expression" dxfId="2" priority="4244">
      <formula>U53="病"</formula>
    </cfRule>
  </conditionalFormatting>
  <conditionalFormatting sqref="W53">
    <cfRule type="expression" dxfId="5" priority="4237">
      <formula>W53="探"</formula>
    </cfRule>
    <cfRule type="expression" dxfId="4" priority="4238">
      <formula>W53="年"</formula>
    </cfRule>
    <cfRule type="expression" dxfId="3" priority="4239">
      <formula>W53="事"</formula>
    </cfRule>
    <cfRule type="expression" dxfId="2" priority="4240">
      <formula>W53="病"</formula>
    </cfRule>
  </conditionalFormatting>
  <conditionalFormatting sqref="X53">
    <cfRule type="expression" dxfId="5" priority="4233">
      <formula>X53="探"</formula>
    </cfRule>
    <cfRule type="expression" dxfId="4" priority="4234">
      <formula>X53="年"</formula>
    </cfRule>
    <cfRule type="expression" dxfId="3" priority="4235">
      <formula>X53="事"</formula>
    </cfRule>
    <cfRule type="expression" dxfId="2" priority="4236">
      <formula>X53="病"</formula>
    </cfRule>
  </conditionalFormatting>
  <conditionalFormatting sqref="Y53">
    <cfRule type="expression" dxfId="5" priority="2521">
      <formula>Y53="探"</formula>
    </cfRule>
    <cfRule type="expression" dxfId="4" priority="2522">
      <formula>Y53="年"</formula>
    </cfRule>
    <cfRule type="expression" dxfId="3" priority="2523">
      <formula>Y53="事"</formula>
    </cfRule>
    <cfRule type="expression" dxfId="2" priority="2524">
      <formula>Y53="病"</formula>
    </cfRule>
  </conditionalFormatting>
  <conditionalFormatting sqref="AC53:AD53">
    <cfRule type="expression" dxfId="5" priority="2505">
      <formula>AC53="探"</formula>
    </cfRule>
    <cfRule type="expression" dxfId="4" priority="2506">
      <formula>AC53="年"</formula>
    </cfRule>
    <cfRule type="expression" dxfId="3" priority="2507">
      <formula>AC53="事"</formula>
    </cfRule>
    <cfRule type="expression" dxfId="2" priority="2508">
      <formula>AC53="病"</formula>
    </cfRule>
  </conditionalFormatting>
  <conditionalFormatting sqref="AE53">
    <cfRule type="expression" dxfId="5" priority="8193">
      <formula>AE53="探"</formula>
    </cfRule>
    <cfRule type="expression" dxfId="4" priority="8194">
      <formula>AE53="年"</formula>
    </cfRule>
    <cfRule type="expression" dxfId="3" priority="8195">
      <formula>AE53="事"</formula>
    </cfRule>
    <cfRule type="expression" dxfId="2" priority="8196">
      <formula>AE53="病"</formula>
    </cfRule>
  </conditionalFormatting>
  <conditionalFormatting sqref="AF53">
    <cfRule type="expression" dxfId="5" priority="6997">
      <formula>AF53="探"</formula>
    </cfRule>
    <cfRule type="expression" dxfId="4" priority="6998">
      <formula>AF53="年"</formula>
    </cfRule>
    <cfRule type="expression" dxfId="3" priority="6999">
      <formula>AF53="事"</formula>
    </cfRule>
    <cfRule type="expression" dxfId="2" priority="7000">
      <formula>AF53="病"</formula>
    </cfRule>
  </conditionalFormatting>
  <conditionalFormatting sqref="AG53">
    <cfRule type="expression" dxfId="5" priority="6993">
      <formula>AG53="探"</formula>
    </cfRule>
    <cfRule type="expression" dxfId="4" priority="6994">
      <formula>AG53="年"</formula>
    </cfRule>
    <cfRule type="expression" dxfId="3" priority="6995">
      <formula>AG53="事"</formula>
    </cfRule>
    <cfRule type="expression" dxfId="2" priority="6996">
      <formula>AG53="病"</formula>
    </cfRule>
  </conditionalFormatting>
  <conditionalFormatting sqref="AH53">
    <cfRule type="expression" dxfId="5" priority="6989">
      <formula>AH53="探"</formula>
    </cfRule>
    <cfRule type="expression" dxfId="4" priority="6990">
      <formula>AH53="年"</formula>
    </cfRule>
    <cfRule type="expression" dxfId="3" priority="6991">
      <formula>AH53="事"</formula>
    </cfRule>
    <cfRule type="expression" dxfId="2" priority="6992">
      <formula>AH53="病"</formula>
    </cfRule>
  </conditionalFormatting>
  <conditionalFormatting sqref="AI53:AJ53">
    <cfRule type="expression" dxfId="5" priority="6981">
      <formula>AI53="探"</formula>
    </cfRule>
    <cfRule type="expression" dxfId="4" priority="6982">
      <formula>AI53="年"</formula>
    </cfRule>
    <cfRule type="expression" dxfId="3" priority="6983">
      <formula>AI53="事"</formula>
    </cfRule>
    <cfRule type="expression" dxfId="2" priority="6984">
      <formula>AI53="病"</formula>
    </cfRule>
  </conditionalFormatting>
  <conditionalFormatting sqref="AK53">
    <cfRule type="expression" dxfId="5" priority="6985">
      <formula>AK53="探"</formula>
    </cfRule>
    <cfRule type="expression" dxfId="4" priority="6986">
      <formula>AK53="年"</formula>
    </cfRule>
    <cfRule type="expression" dxfId="3" priority="6987">
      <formula>AK53="事"</formula>
    </cfRule>
    <cfRule type="expression" dxfId="2" priority="6988">
      <formula>AK53="病"</formula>
    </cfRule>
  </conditionalFormatting>
  <conditionalFormatting sqref="G54:H54">
    <cfRule type="expression" dxfId="5" priority="8989">
      <formula>G54="探"</formula>
    </cfRule>
    <cfRule type="expression" dxfId="4" priority="8990">
      <formula>G54="年"</formula>
    </cfRule>
    <cfRule type="expression" dxfId="3" priority="8991">
      <formula>G54="事"</formula>
    </cfRule>
    <cfRule type="expression" dxfId="2" priority="8992">
      <formula>G54="病"</formula>
    </cfRule>
  </conditionalFormatting>
  <conditionalFormatting sqref="I54">
    <cfRule type="expression" dxfId="5" priority="8993">
      <formula>I54="探"</formula>
    </cfRule>
    <cfRule type="expression" dxfId="4" priority="8994">
      <formula>I54="年"</formula>
    </cfRule>
    <cfRule type="expression" dxfId="3" priority="8995">
      <formula>I54="事"</formula>
    </cfRule>
    <cfRule type="expression" dxfId="2" priority="8996">
      <formula>I54="病"</formula>
    </cfRule>
  </conditionalFormatting>
  <conditionalFormatting sqref="J54">
    <cfRule type="expression" dxfId="5" priority="8997">
      <formula>J54="探"</formula>
    </cfRule>
    <cfRule type="expression" dxfId="4" priority="8998">
      <formula>J54="年"</formula>
    </cfRule>
    <cfRule type="expression" dxfId="3" priority="8999">
      <formula>J54="事"</formula>
    </cfRule>
    <cfRule type="expression" dxfId="2" priority="9000">
      <formula>J54="病"</formula>
    </cfRule>
  </conditionalFormatting>
  <conditionalFormatting sqref="K54">
    <cfRule type="expression" dxfId="5" priority="5805">
      <formula>K54="探"</formula>
    </cfRule>
    <cfRule type="expression" dxfId="4" priority="5806">
      <formula>K54="年"</formula>
    </cfRule>
    <cfRule type="expression" dxfId="3" priority="5807">
      <formula>K54="事"</formula>
    </cfRule>
    <cfRule type="expression" dxfId="2" priority="5808">
      <formula>K54="病"</formula>
    </cfRule>
  </conditionalFormatting>
  <conditionalFormatting sqref="L54:M54">
    <cfRule type="expression" dxfId="5" priority="5797">
      <formula>L54="探"</formula>
    </cfRule>
    <cfRule type="expression" dxfId="4" priority="5798">
      <formula>L54="年"</formula>
    </cfRule>
    <cfRule type="expression" dxfId="3" priority="5799">
      <formula>L54="事"</formula>
    </cfRule>
    <cfRule type="expression" dxfId="2" priority="5800">
      <formula>L54="病"</formula>
    </cfRule>
  </conditionalFormatting>
  <conditionalFormatting sqref="N54">
    <cfRule type="expression" dxfId="5" priority="5801">
      <formula>N54="探"</formula>
    </cfRule>
    <cfRule type="expression" dxfId="4" priority="5802">
      <formula>N54="年"</formula>
    </cfRule>
    <cfRule type="expression" dxfId="3" priority="5803">
      <formula>N54="事"</formula>
    </cfRule>
    <cfRule type="expression" dxfId="2" priority="5804">
      <formula>N54="病"</formula>
    </cfRule>
  </conditionalFormatting>
  <conditionalFormatting sqref="O54">
    <cfRule type="expression" dxfId="5" priority="4937">
      <formula>O54="探"</formula>
    </cfRule>
    <cfRule type="expression" dxfId="4" priority="4938">
      <formula>O54="年"</formula>
    </cfRule>
    <cfRule type="expression" dxfId="3" priority="4939">
      <formula>O54="事"</formula>
    </cfRule>
    <cfRule type="expression" dxfId="2" priority="4940">
      <formula>O54="病"</formula>
    </cfRule>
  </conditionalFormatting>
  <conditionalFormatting sqref="P54">
    <cfRule type="expression" dxfId="5" priority="4933">
      <formula>P54="探"</formula>
    </cfRule>
    <cfRule type="expression" dxfId="4" priority="4934">
      <formula>P54="年"</formula>
    </cfRule>
    <cfRule type="expression" dxfId="3" priority="4935">
      <formula>P54="事"</formula>
    </cfRule>
    <cfRule type="expression" dxfId="2" priority="4936">
      <formula>P54="病"</formula>
    </cfRule>
  </conditionalFormatting>
  <conditionalFormatting sqref="Q54">
    <cfRule type="expression" dxfId="5" priority="4925">
      <formula>Q54="探"</formula>
    </cfRule>
    <cfRule type="expression" dxfId="4" priority="4926">
      <formula>Q54="年"</formula>
    </cfRule>
    <cfRule type="expression" dxfId="3" priority="4927">
      <formula>Q54="事"</formula>
    </cfRule>
    <cfRule type="expression" dxfId="2" priority="4928">
      <formula>Q54="病"</formula>
    </cfRule>
  </conditionalFormatting>
  <conditionalFormatting sqref="R54">
    <cfRule type="expression" dxfId="5" priority="4929">
      <formula>R54="探"</formula>
    </cfRule>
    <cfRule type="expression" dxfId="4" priority="4930">
      <formula>R54="年"</formula>
    </cfRule>
    <cfRule type="expression" dxfId="3" priority="4931">
      <formula>R54="事"</formula>
    </cfRule>
    <cfRule type="expression" dxfId="2" priority="4932">
      <formula>R54="病"</formula>
    </cfRule>
  </conditionalFormatting>
  <conditionalFormatting sqref="S54">
    <cfRule type="expression" dxfId="5" priority="4921">
      <formula>S54="探"</formula>
    </cfRule>
    <cfRule type="expression" dxfId="4" priority="4922">
      <formula>S54="年"</formula>
    </cfRule>
    <cfRule type="expression" dxfId="3" priority="4923">
      <formula>S54="事"</formula>
    </cfRule>
    <cfRule type="expression" dxfId="2" priority="4924">
      <formula>S54="病"</formula>
    </cfRule>
  </conditionalFormatting>
  <conditionalFormatting sqref="T54">
    <cfRule type="expression" dxfId="5" priority="4917">
      <formula>T54="探"</formula>
    </cfRule>
    <cfRule type="expression" dxfId="4" priority="4918">
      <formula>T54="年"</formula>
    </cfRule>
    <cfRule type="expression" dxfId="3" priority="4919">
      <formula>T54="事"</formula>
    </cfRule>
    <cfRule type="expression" dxfId="2" priority="4920">
      <formula>T54="病"</formula>
    </cfRule>
  </conditionalFormatting>
  <conditionalFormatting sqref="U54">
    <cfRule type="expression" dxfId="5" priority="4225">
      <formula>U54="探"</formula>
    </cfRule>
    <cfRule type="expression" dxfId="4" priority="4226">
      <formula>U54="年"</formula>
    </cfRule>
    <cfRule type="expression" dxfId="3" priority="4227">
      <formula>U54="事"</formula>
    </cfRule>
    <cfRule type="expression" dxfId="2" priority="4228">
      <formula>U54="病"</formula>
    </cfRule>
  </conditionalFormatting>
  <conditionalFormatting sqref="V54">
    <cfRule type="expression" dxfId="5" priority="4229">
      <formula>V54="探"</formula>
    </cfRule>
    <cfRule type="expression" dxfId="4" priority="4230">
      <formula>V54="年"</formula>
    </cfRule>
    <cfRule type="expression" dxfId="3" priority="4231">
      <formula>V54="事"</formula>
    </cfRule>
    <cfRule type="expression" dxfId="2" priority="4232">
      <formula>V54="病"</formula>
    </cfRule>
  </conditionalFormatting>
  <conditionalFormatting sqref="W54">
    <cfRule type="expression" dxfId="5" priority="4221">
      <formula>W54="探"</formula>
    </cfRule>
    <cfRule type="expression" dxfId="4" priority="4222">
      <formula>W54="年"</formula>
    </cfRule>
    <cfRule type="expression" dxfId="3" priority="4223">
      <formula>W54="事"</formula>
    </cfRule>
    <cfRule type="expression" dxfId="2" priority="4224">
      <formula>W54="病"</formula>
    </cfRule>
  </conditionalFormatting>
  <conditionalFormatting sqref="X54">
    <cfRule type="expression" dxfId="5" priority="4217">
      <formula>X54="探"</formula>
    </cfRule>
    <cfRule type="expression" dxfId="4" priority="4218">
      <formula>X54="年"</formula>
    </cfRule>
    <cfRule type="expression" dxfId="3" priority="4219">
      <formula>X54="事"</formula>
    </cfRule>
    <cfRule type="expression" dxfId="2" priority="4220">
      <formula>X54="病"</formula>
    </cfRule>
  </conditionalFormatting>
  <conditionalFormatting sqref="Y54">
    <cfRule type="expression" dxfId="5" priority="2497">
      <formula>Y54="探"</formula>
    </cfRule>
    <cfRule type="expression" dxfId="4" priority="2498">
      <formula>Y54="年"</formula>
    </cfRule>
    <cfRule type="expression" dxfId="3" priority="2499">
      <formula>Y54="事"</formula>
    </cfRule>
    <cfRule type="expression" dxfId="2" priority="2500">
      <formula>Y54="病"</formula>
    </cfRule>
  </conditionalFormatting>
  <conditionalFormatting sqref="AC54">
    <cfRule type="expression" dxfId="5" priority="2489">
      <formula>AC54="探"</formula>
    </cfRule>
    <cfRule type="expression" dxfId="4" priority="2490">
      <formula>AC54="年"</formula>
    </cfRule>
    <cfRule type="expression" dxfId="3" priority="2491">
      <formula>AC54="事"</formula>
    </cfRule>
    <cfRule type="expression" dxfId="2" priority="2492">
      <formula>AC54="病"</formula>
    </cfRule>
  </conditionalFormatting>
  <conditionalFormatting sqref="AD54">
    <cfRule type="expression" dxfId="5" priority="2485">
      <formula>AD54="探"</formula>
    </cfRule>
    <cfRule type="expression" dxfId="4" priority="2486">
      <formula>AD54="年"</formula>
    </cfRule>
    <cfRule type="expression" dxfId="3" priority="2487">
      <formula>AD54="事"</formula>
    </cfRule>
    <cfRule type="expression" dxfId="2" priority="2488">
      <formula>AD54="病"</formula>
    </cfRule>
  </conditionalFormatting>
  <conditionalFormatting sqref="AE54">
    <cfRule type="expression" dxfId="5" priority="2481">
      <formula>AE54="探"</formula>
    </cfRule>
    <cfRule type="expression" dxfId="4" priority="2482">
      <formula>AE54="年"</formula>
    </cfRule>
    <cfRule type="expression" dxfId="3" priority="2483">
      <formula>AE54="事"</formula>
    </cfRule>
    <cfRule type="expression" dxfId="2" priority="2484">
      <formula>AE54="病"</formula>
    </cfRule>
  </conditionalFormatting>
  <conditionalFormatting sqref="AF54">
    <cfRule type="expression" dxfId="2" priority="800">
      <formula>AF54="病"</formula>
    </cfRule>
    <cfRule type="expression" dxfId="3" priority="799">
      <formula>AF54="事"</formula>
    </cfRule>
    <cfRule type="expression" dxfId="4" priority="798">
      <formula>AF54="年"</formula>
    </cfRule>
    <cfRule type="expression" dxfId="5" priority="797">
      <formula>AF54="探"</formula>
    </cfRule>
  </conditionalFormatting>
  <conditionalFormatting sqref="AG54">
    <cfRule type="expression" dxfId="5" priority="6973">
      <formula>AG54="探"</formula>
    </cfRule>
    <cfRule type="expression" dxfId="4" priority="6974">
      <formula>AG54="年"</formula>
    </cfRule>
    <cfRule type="expression" dxfId="3" priority="6975">
      <formula>AG54="事"</formula>
    </cfRule>
    <cfRule type="expression" dxfId="2" priority="6976">
      <formula>AG54="病"</formula>
    </cfRule>
  </conditionalFormatting>
  <conditionalFormatting sqref="AH54">
    <cfRule type="expression" dxfId="5" priority="6969">
      <formula>AH54="探"</formula>
    </cfRule>
    <cfRule type="expression" dxfId="4" priority="6970">
      <formula>AH54="年"</formula>
    </cfRule>
    <cfRule type="expression" dxfId="3" priority="6971">
      <formula>AH54="事"</formula>
    </cfRule>
    <cfRule type="expression" dxfId="2" priority="6972">
      <formula>AH54="病"</formula>
    </cfRule>
  </conditionalFormatting>
  <conditionalFormatting sqref="AI54:AK54">
    <cfRule type="expression" dxfId="5" priority="6965">
      <formula>AI54="探"</formula>
    </cfRule>
    <cfRule type="expression" dxfId="4" priority="6966">
      <formula>AI54="年"</formula>
    </cfRule>
    <cfRule type="expression" dxfId="3" priority="6967">
      <formula>AI54="事"</formula>
    </cfRule>
    <cfRule type="expression" dxfId="2" priority="6968">
      <formula>AI54="病"</formula>
    </cfRule>
  </conditionalFormatting>
  <conditionalFormatting sqref="G55:H55">
    <cfRule type="expression" dxfId="5" priority="6293">
      <formula>G55="探"</formula>
    </cfRule>
    <cfRule type="expression" dxfId="4" priority="6294">
      <formula>G55="年"</formula>
    </cfRule>
    <cfRule type="expression" dxfId="3" priority="6295">
      <formula>G55="事"</formula>
    </cfRule>
    <cfRule type="expression" dxfId="2" priority="6296">
      <formula>G55="病"</formula>
    </cfRule>
  </conditionalFormatting>
  <conditionalFormatting sqref="I55:J55">
    <cfRule type="expression" dxfId="5" priority="6297">
      <formula>I55="探"</formula>
    </cfRule>
    <cfRule type="expression" dxfId="4" priority="6298">
      <formula>I55="年"</formula>
    </cfRule>
    <cfRule type="expression" dxfId="3" priority="6299">
      <formula>I55="事"</formula>
    </cfRule>
    <cfRule type="expression" dxfId="2" priority="6300">
      <formula>I55="病"</formula>
    </cfRule>
  </conditionalFormatting>
  <conditionalFormatting sqref="K55">
    <cfRule type="expression" dxfId="5" priority="5793">
      <formula>K55="探"</formula>
    </cfRule>
    <cfRule type="expression" dxfId="4" priority="5794">
      <formula>K55="年"</formula>
    </cfRule>
    <cfRule type="expression" dxfId="3" priority="5795">
      <formula>K55="事"</formula>
    </cfRule>
    <cfRule type="expression" dxfId="2" priority="5796">
      <formula>K55="病"</formula>
    </cfRule>
  </conditionalFormatting>
  <conditionalFormatting sqref="L55:M55">
    <cfRule type="expression" dxfId="5" priority="5789">
      <formula>L55="探"</formula>
    </cfRule>
    <cfRule type="expression" dxfId="4" priority="5790">
      <formula>L55="年"</formula>
    </cfRule>
    <cfRule type="expression" dxfId="3" priority="5791">
      <formula>L55="事"</formula>
    </cfRule>
    <cfRule type="expression" dxfId="2" priority="5792">
      <formula>L55="病"</formula>
    </cfRule>
  </conditionalFormatting>
  <conditionalFormatting sqref="N55">
    <cfRule type="expression" dxfId="5" priority="5785">
      <formula>N55="探"</formula>
    </cfRule>
    <cfRule type="expression" dxfId="4" priority="5786">
      <formula>N55="年"</formula>
    </cfRule>
    <cfRule type="expression" dxfId="3" priority="5787">
      <formula>N55="事"</formula>
    </cfRule>
    <cfRule type="expression" dxfId="2" priority="5788">
      <formula>N55="病"</formula>
    </cfRule>
  </conditionalFormatting>
  <conditionalFormatting sqref="O55">
    <cfRule type="expression" dxfId="5" priority="4909">
      <formula>O55="探"</formula>
    </cfRule>
    <cfRule type="expression" dxfId="4" priority="4910">
      <formula>O55="年"</formula>
    </cfRule>
    <cfRule type="expression" dxfId="3" priority="4911">
      <formula>O55="事"</formula>
    </cfRule>
    <cfRule type="expression" dxfId="2" priority="4912">
      <formula>O55="病"</formula>
    </cfRule>
  </conditionalFormatting>
  <conditionalFormatting sqref="P55">
    <cfRule type="expression" dxfId="5" priority="4913">
      <formula>P55="探"</formula>
    </cfRule>
    <cfRule type="expression" dxfId="4" priority="4914">
      <formula>P55="年"</formula>
    </cfRule>
    <cfRule type="expression" dxfId="3" priority="4915">
      <formula>P55="事"</formula>
    </cfRule>
    <cfRule type="expression" dxfId="2" priority="4916">
      <formula>P55="病"</formula>
    </cfRule>
  </conditionalFormatting>
  <conditionalFormatting sqref="Q55">
    <cfRule type="expression" dxfId="5" priority="4905">
      <formula>Q55="探"</formula>
    </cfRule>
    <cfRule type="expression" dxfId="4" priority="4906">
      <formula>Q55="年"</formula>
    </cfRule>
    <cfRule type="expression" dxfId="3" priority="4907">
      <formula>Q55="事"</formula>
    </cfRule>
    <cfRule type="expression" dxfId="2" priority="4908">
      <formula>Q55="病"</formula>
    </cfRule>
  </conditionalFormatting>
  <conditionalFormatting sqref="R55:S55">
    <cfRule type="expression" dxfId="5" priority="4897">
      <formula>R55="探"</formula>
    </cfRule>
    <cfRule type="expression" dxfId="4" priority="4898">
      <formula>R55="年"</formula>
    </cfRule>
    <cfRule type="expression" dxfId="3" priority="4899">
      <formula>R55="事"</formula>
    </cfRule>
    <cfRule type="expression" dxfId="2" priority="4900">
      <formula>R55="病"</formula>
    </cfRule>
  </conditionalFormatting>
  <conditionalFormatting sqref="T55">
    <cfRule type="expression" dxfId="5" priority="4901">
      <formula>T55="探"</formula>
    </cfRule>
    <cfRule type="expression" dxfId="4" priority="4902">
      <formula>T55="年"</formula>
    </cfRule>
    <cfRule type="expression" dxfId="3" priority="4903">
      <formula>T55="事"</formula>
    </cfRule>
    <cfRule type="expression" dxfId="2" priority="4904">
      <formula>T55="病"</formula>
    </cfRule>
  </conditionalFormatting>
  <conditionalFormatting sqref="U55">
    <cfRule type="expression" dxfId="5" priority="4213">
      <formula>U55="探"</formula>
    </cfRule>
    <cfRule type="expression" dxfId="4" priority="4214">
      <formula>U55="年"</formula>
    </cfRule>
    <cfRule type="expression" dxfId="3" priority="4215">
      <formula>U55="事"</formula>
    </cfRule>
    <cfRule type="expression" dxfId="2" priority="4216">
      <formula>U55="病"</formula>
    </cfRule>
  </conditionalFormatting>
  <conditionalFormatting sqref="V55">
    <cfRule type="expression" dxfId="5" priority="4209">
      <formula>V55="探"</formula>
    </cfRule>
    <cfRule type="expression" dxfId="4" priority="4210">
      <formula>V55="年"</formula>
    </cfRule>
    <cfRule type="expression" dxfId="3" priority="4211">
      <formula>V55="事"</formula>
    </cfRule>
    <cfRule type="expression" dxfId="2" priority="4212">
      <formula>V55="病"</formula>
    </cfRule>
  </conditionalFormatting>
  <conditionalFormatting sqref="W55">
    <cfRule type="expression" dxfId="5" priority="4201">
      <formula>W55="探"</formula>
    </cfRule>
    <cfRule type="expression" dxfId="4" priority="4202">
      <formula>W55="年"</formula>
    </cfRule>
    <cfRule type="expression" dxfId="3" priority="4203">
      <formula>W55="事"</formula>
    </cfRule>
    <cfRule type="expression" dxfId="2" priority="4204">
      <formula>W55="病"</formula>
    </cfRule>
  </conditionalFormatting>
  <conditionalFormatting sqref="X55">
    <cfRule type="expression" dxfId="5" priority="4205">
      <formula>X55="探"</formula>
    </cfRule>
    <cfRule type="expression" dxfId="4" priority="4206">
      <formula>X55="年"</formula>
    </cfRule>
    <cfRule type="expression" dxfId="3" priority="4207">
      <formula>X55="事"</formula>
    </cfRule>
    <cfRule type="expression" dxfId="2" priority="4208">
      <formula>X55="病"</formula>
    </cfRule>
  </conditionalFormatting>
  <conditionalFormatting sqref="Y55">
    <cfRule type="expression" dxfId="2" priority="1976">
      <formula>Y55="病"</formula>
    </cfRule>
    <cfRule type="expression" dxfId="3" priority="1975">
      <formula>Y55="事"</formula>
    </cfRule>
    <cfRule type="expression" dxfId="4" priority="1974">
      <formula>Y55="年"</formula>
    </cfRule>
    <cfRule type="expression" dxfId="5" priority="1973">
      <formula>Y55="探"</formula>
    </cfRule>
  </conditionalFormatting>
  <conditionalFormatting sqref="Z55">
    <cfRule type="expression" dxfId="2" priority="1972">
      <formula>Z55="病"</formula>
    </cfRule>
    <cfRule type="expression" dxfId="3" priority="1971">
      <formula>Z55="事"</formula>
    </cfRule>
    <cfRule type="expression" dxfId="4" priority="1970">
      <formula>Z55="年"</formula>
    </cfRule>
    <cfRule type="expression" dxfId="5" priority="1969">
      <formula>Z55="探"</formula>
    </cfRule>
  </conditionalFormatting>
  <conditionalFormatting sqref="AA55">
    <cfRule type="expression" dxfId="2" priority="1964">
      <formula>AA55="病"</formula>
    </cfRule>
    <cfRule type="expression" dxfId="3" priority="1963">
      <formula>AA55="事"</formula>
    </cfRule>
    <cfRule type="expression" dxfId="4" priority="1962">
      <formula>AA55="年"</formula>
    </cfRule>
    <cfRule type="expression" dxfId="5" priority="1961">
      <formula>AA55="探"</formula>
    </cfRule>
  </conditionalFormatting>
  <conditionalFormatting sqref="AB55">
    <cfRule type="expression" dxfId="2" priority="1968">
      <formula>AB55="病"</formula>
    </cfRule>
    <cfRule type="expression" dxfId="3" priority="1967">
      <formula>AB55="事"</formula>
    </cfRule>
    <cfRule type="expression" dxfId="4" priority="1966">
      <formula>AB55="年"</formula>
    </cfRule>
    <cfRule type="expression" dxfId="5" priority="1965">
      <formula>AB55="探"</formula>
    </cfRule>
  </conditionalFormatting>
  <conditionalFormatting sqref="AC55">
    <cfRule type="expression" dxfId="2" priority="1960">
      <formula>AC55="病"</formula>
    </cfRule>
    <cfRule type="expression" dxfId="3" priority="1959">
      <formula>AC55="事"</formula>
    </cfRule>
    <cfRule type="expression" dxfId="4" priority="1958">
      <formula>AC55="年"</formula>
    </cfRule>
    <cfRule type="expression" dxfId="5" priority="1957">
      <formula>AC55="探"</formula>
    </cfRule>
  </conditionalFormatting>
  <conditionalFormatting sqref="AD55:AE55">
    <cfRule type="expression" dxfId="2" priority="1956">
      <formula>AD55="病"</formula>
    </cfRule>
    <cfRule type="expression" dxfId="3" priority="1955">
      <formula>AD55="事"</formula>
    </cfRule>
    <cfRule type="expression" dxfId="4" priority="1954">
      <formula>AD55="年"</formula>
    </cfRule>
    <cfRule type="expression" dxfId="5" priority="1953">
      <formula>AD55="探"</formula>
    </cfRule>
  </conditionalFormatting>
  <conditionalFormatting sqref="AF55">
    <cfRule type="expression" dxfId="2" priority="796">
      <formula>AF55="病"</formula>
    </cfRule>
    <cfRule type="expression" dxfId="3" priority="795">
      <formula>AF55="事"</formula>
    </cfRule>
    <cfRule type="expression" dxfId="4" priority="794">
      <formula>AF55="年"</formula>
    </cfRule>
    <cfRule type="expression" dxfId="5" priority="793">
      <formula>AF55="探"</formula>
    </cfRule>
  </conditionalFormatting>
  <conditionalFormatting sqref="AG55">
    <cfRule type="expression" dxfId="2" priority="792">
      <formula>AG55="病"</formula>
    </cfRule>
    <cfRule type="expression" dxfId="3" priority="791">
      <formula>AG55="事"</formula>
    </cfRule>
    <cfRule type="expression" dxfId="4" priority="790">
      <formula>AG55="年"</formula>
    </cfRule>
    <cfRule type="expression" dxfId="5" priority="789">
      <formula>AG55="探"</formula>
    </cfRule>
  </conditionalFormatting>
  <conditionalFormatting sqref="AH55">
    <cfRule type="expression" dxfId="2" priority="788">
      <formula>AH55="病"</formula>
    </cfRule>
    <cfRule type="expression" dxfId="3" priority="787">
      <formula>AH55="事"</formula>
    </cfRule>
    <cfRule type="expression" dxfId="4" priority="786">
      <formula>AH55="年"</formula>
    </cfRule>
    <cfRule type="expression" dxfId="5" priority="785">
      <formula>AH55="探"</formula>
    </cfRule>
  </conditionalFormatting>
  <conditionalFormatting sqref="AI55">
    <cfRule type="expression" dxfId="2" priority="780">
      <formula>AI55="病"</formula>
    </cfRule>
    <cfRule type="expression" dxfId="3" priority="779">
      <formula>AI55="事"</formula>
    </cfRule>
    <cfRule type="expression" dxfId="4" priority="778">
      <formula>AI55="年"</formula>
    </cfRule>
    <cfRule type="expression" dxfId="5" priority="777">
      <formula>AI55="探"</formula>
    </cfRule>
  </conditionalFormatting>
  <conditionalFormatting sqref="AJ55">
    <cfRule type="expression" dxfId="2" priority="784">
      <formula>AJ55="病"</formula>
    </cfRule>
    <cfRule type="expression" dxfId="3" priority="783">
      <formula>AJ55="事"</formula>
    </cfRule>
    <cfRule type="expression" dxfId="4" priority="782">
      <formula>AJ55="年"</formula>
    </cfRule>
    <cfRule type="expression" dxfId="5" priority="781">
      <formula>AJ55="探"</formula>
    </cfRule>
  </conditionalFormatting>
  <conditionalFormatting sqref="AK55">
    <cfRule type="expression" dxfId="2" priority="776">
      <formula>AK55="病"</formula>
    </cfRule>
    <cfRule type="expression" dxfId="3" priority="775">
      <formula>AK55="事"</formula>
    </cfRule>
    <cfRule type="expression" dxfId="4" priority="774">
      <formula>AK55="年"</formula>
    </cfRule>
    <cfRule type="expression" dxfId="5" priority="773">
      <formula>AK55="探"</formula>
    </cfRule>
  </conditionalFormatting>
  <conditionalFormatting sqref="K56:L56">
    <cfRule type="expression" dxfId="5" priority="5781">
      <formula>K56="探"</formula>
    </cfRule>
    <cfRule type="expression" dxfId="4" priority="5782">
      <formula>K56="年"</formula>
    </cfRule>
    <cfRule type="expression" dxfId="3" priority="5783">
      <formula>K56="事"</formula>
    </cfRule>
    <cfRule type="expression" dxfId="2" priority="5784">
      <formula>K56="病"</formula>
    </cfRule>
  </conditionalFormatting>
  <conditionalFormatting sqref="M56:N56">
    <cfRule type="expression" dxfId="5" priority="5777">
      <formula>M56="探"</formula>
    </cfRule>
    <cfRule type="expression" dxfId="4" priority="5778">
      <formula>M56="年"</formula>
    </cfRule>
    <cfRule type="expression" dxfId="3" priority="5779">
      <formula>M56="事"</formula>
    </cfRule>
    <cfRule type="expression" dxfId="2" priority="5780">
      <formula>M56="病"</formula>
    </cfRule>
  </conditionalFormatting>
  <conditionalFormatting sqref="O56">
    <cfRule type="expression" dxfId="5" priority="4893">
      <formula>O56="探"</formula>
    </cfRule>
    <cfRule type="expression" dxfId="4" priority="4894">
      <formula>O56="年"</formula>
    </cfRule>
    <cfRule type="expression" dxfId="3" priority="4895">
      <formula>O56="事"</formula>
    </cfRule>
    <cfRule type="expression" dxfId="2" priority="4896">
      <formula>O56="病"</formula>
    </cfRule>
  </conditionalFormatting>
  <conditionalFormatting sqref="P56">
    <cfRule type="expression" dxfId="5" priority="4889">
      <formula>P56="探"</formula>
    </cfRule>
    <cfRule type="expression" dxfId="4" priority="4890">
      <formula>P56="年"</formula>
    </cfRule>
    <cfRule type="expression" dxfId="3" priority="4891">
      <formula>P56="事"</formula>
    </cfRule>
    <cfRule type="expression" dxfId="2" priority="4892">
      <formula>P56="病"</formula>
    </cfRule>
  </conditionalFormatting>
  <conditionalFormatting sqref="Q56:R56">
    <cfRule type="expression" dxfId="5" priority="4881">
      <formula>Q56="探"</formula>
    </cfRule>
    <cfRule type="expression" dxfId="4" priority="4882">
      <formula>Q56="年"</formula>
    </cfRule>
    <cfRule type="expression" dxfId="3" priority="4883">
      <formula>Q56="事"</formula>
    </cfRule>
    <cfRule type="expression" dxfId="2" priority="4884">
      <formula>Q56="病"</formula>
    </cfRule>
  </conditionalFormatting>
  <conditionalFormatting sqref="S56">
    <cfRule type="expression" dxfId="5" priority="4885">
      <formula>S56="探"</formula>
    </cfRule>
    <cfRule type="expression" dxfId="4" priority="4886">
      <formula>S56="年"</formula>
    </cfRule>
    <cfRule type="expression" dxfId="3" priority="4887">
      <formula>S56="事"</formula>
    </cfRule>
    <cfRule type="expression" dxfId="2" priority="4888">
      <formula>S56="病"</formula>
    </cfRule>
  </conditionalFormatting>
  <conditionalFormatting sqref="T56">
    <cfRule type="expression" dxfId="5" priority="4877">
      <formula>T56="探"</formula>
    </cfRule>
    <cfRule type="expression" dxfId="4" priority="4878">
      <formula>T56="年"</formula>
    </cfRule>
    <cfRule type="expression" dxfId="3" priority="4879">
      <formula>T56="事"</formula>
    </cfRule>
    <cfRule type="expression" dxfId="2" priority="4880">
      <formula>T56="病"</formula>
    </cfRule>
  </conditionalFormatting>
  <conditionalFormatting sqref="U56:V56">
    <cfRule type="expression" dxfId="5" priority="4193">
      <formula>U56="探"</formula>
    </cfRule>
    <cfRule type="expression" dxfId="4" priority="4194">
      <formula>U56="年"</formula>
    </cfRule>
    <cfRule type="expression" dxfId="3" priority="4195">
      <formula>U56="事"</formula>
    </cfRule>
    <cfRule type="expression" dxfId="2" priority="4196">
      <formula>U56="病"</formula>
    </cfRule>
  </conditionalFormatting>
  <conditionalFormatting sqref="W56">
    <cfRule type="expression" dxfId="5" priority="4197">
      <formula>W56="探"</formula>
    </cfRule>
    <cfRule type="expression" dxfId="4" priority="4198">
      <formula>W56="年"</formula>
    </cfRule>
    <cfRule type="expression" dxfId="3" priority="4199">
      <formula>W56="事"</formula>
    </cfRule>
    <cfRule type="expression" dxfId="2" priority="4200">
      <formula>W56="病"</formula>
    </cfRule>
  </conditionalFormatting>
  <conditionalFormatting sqref="X56">
    <cfRule type="expression" dxfId="5" priority="4189">
      <formula>X56="探"</formula>
    </cfRule>
    <cfRule type="expression" dxfId="4" priority="4190">
      <formula>X56="年"</formula>
    </cfRule>
    <cfRule type="expression" dxfId="3" priority="4191">
      <formula>X56="事"</formula>
    </cfRule>
    <cfRule type="expression" dxfId="2" priority="4192">
      <formula>X56="病"</formula>
    </cfRule>
  </conditionalFormatting>
  <conditionalFormatting sqref="Y56">
    <cfRule type="expression" dxfId="5" priority="2457">
      <formula>Y56="探"</formula>
    </cfRule>
    <cfRule type="expression" dxfId="4" priority="2458">
      <formula>Y56="年"</formula>
    </cfRule>
    <cfRule type="expression" dxfId="3" priority="2459">
      <formula>Y56="事"</formula>
    </cfRule>
    <cfRule type="expression" dxfId="2" priority="2460">
      <formula>Y56="病"</formula>
    </cfRule>
  </conditionalFormatting>
  <conditionalFormatting sqref="Z56">
    <cfRule type="expression" dxfId="2" priority="1948">
      <formula>Z56="病"</formula>
    </cfRule>
    <cfRule type="expression" dxfId="3" priority="1947">
      <formula>Z56="事"</formula>
    </cfRule>
    <cfRule type="expression" dxfId="4" priority="1946">
      <formula>Z56="年"</formula>
    </cfRule>
    <cfRule type="expression" dxfId="5" priority="1945">
      <formula>Z56="探"</formula>
    </cfRule>
  </conditionalFormatting>
  <conditionalFormatting sqref="AA56">
    <cfRule type="expression" dxfId="2" priority="1952">
      <formula>AA56="病"</formula>
    </cfRule>
    <cfRule type="expression" dxfId="3" priority="1951">
      <formula>AA56="事"</formula>
    </cfRule>
    <cfRule type="expression" dxfId="4" priority="1950">
      <formula>AA56="年"</formula>
    </cfRule>
    <cfRule type="expression" dxfId="5" priority="1949">
      <formula>AA56="探"</formula>
    </cfRule>
  </conditionalFormatting>
  <conditionalFormatting sqref="AB56">
    <cfRule type="expression" dxfId="2" priority="1944">
      <formula>AB56="病"</formula>
    </cfRule>
    <cfRule type="expression" dxfId="3" priority="1943">
      <formula>AB56="事"</formula>
    </cfRule>
    <cfRule type="expression" dxfId="4" priority="1942">
      <formula>AB56="年"</formula>
    </cfRule>
    <cfRule type="expression" dxfId="5" priority="1941">
      <formula>AB56="探"</formula>
    </cfRule>
  </conditionalFormatting>
  <conditionalFormatting sqref="AC56">
    <cfRule type="expression" dxfId="2" priority="1940">
      <formula>AC56="病"</formula>
    </cfRule>
    <cfRule type="expression" dxfId="3" priority="1939">
      <formula>AC56="事"</formula>
    </cfRule>
    <cfRule type="expression" dxfId="4" priority="1938">
      <formula>AC56="年"</formula>
    </cfRule>
    <cfRule type="expression" dxfId="5" priority="1937">
      <formula>AC56="探"</formula>
    </cfRule>
  </conditionalFormatting>
  <conditionalFormatting sqref="AD56">
    <cfRule type="expression" dxfId="5" priority="2441">
      <formula>AD56="探"</formula>
    </cfRule>
    <cfRule type="expression" dxfId="4" priority="2442">
      <formula>AD56="年"</formula>
    </cfRule>
    <cfRule type="expression" dxfId="3" priority="2443">
      <formula>AD56="事"</formula>
    </cfRule>
    <cfRule type="expression" dxfId="2" priority="2444">
      <formula>AD56="病"</formula>
    </cfRule>
  </conditionalFormatting>
  <conditionalFormatting sqref="AE56">
    <cfRule type="expression" dxfId="5" priority="2437">
      <formula>AE56="探"</formula>
    </cfRule>
    <cfRule type="expression" dxfId="4" priority="2438">
      <formula>AE56="年"</formula>
    </cfRule>
    <cfRule type="expression" dxfId="3" priority="2439">
      <formula>AE56="事"</formula>
    </cfRule>
    <cfRule type="expression" dxfId="2" priority="2440">
      <formula>AE56="病"</formula>
    </cfRule>
  </conditionalFormatting>
  <conditionalFormatting sqref="AF56">
    <cfRule type="expression" dxfId="5" priority="6945">
      <formula>AF56="探"</formula>
    </cfRule>
    <cfRule type="expression" dxfId="4" priority="6946">
      <formula>AF56="年"</formula>
    </cfRule>
    <cfRule type="expression" dxfId="3" priority="6947">
      <formula>AF56="事"</formula>
    </cfRule>
    <cfRule type="expression" dxfId="2" priority="6948">
      <formula>AF56="病"</formula>
    </cfRule>
  </conditionalFormatting>
  <conditionalFormatting sqref="AG56">
    <cfRule type="expression" dxfId="5" priority="6941">
      <formula>AG56="探"</formula>
    </cfRule>
    <cfRule type="expression" dxfId="4" priority="6942">
      <formula>AG56="年"</formula>
    </cfRule>
    <cfRule type="expression" dxfId="3" priority="6943">
      <formula>AG56="事"</formula>
    </cfRule>
    <cfRule type="expression" dxfId="2" priority="6944">
      <formula>AG56="病"</formula>
    </cfRule>
  </conditionalFormatting>
  <conditionalFormatting sqref="AH56">
    <cfRule type="expression" dxfId="5" priority="6937">
      <formula>AH56="探"</formula>
    </cfRule>
    <cfRule type="expression" dxfId="4" priority="6938">
      <formula>AH56="年"</formula>
    </cfRule>
    <cfRule type="expression" dxfId="3" priority="6939">
      <formula>AH56="事"</formula>
    </cfRule>
    <cfRule type="expression" dxfId="2" priority="6940">
      <formula>AH56="病"</formula>
    </cfRule>
  </conditionalFormatting>
  <conditionalFormatting sqref="AI56:AK56">
    <cfRule type="expression" dxfId="5" priority="6933">
      <formula>AI56="探"</formula>
    </cfRule>
    <cfRule type="expression" dxfId="4" priority="6934">
      <formula>AI56="年"</formula>
    </cfRule>
    <cfRule type="expression" dxfId="3" priority="6935">
      <formula>AI56="事"</formula>
    </cfRule>
    <cfRule type="expression" dxfId="2" priority="6936">
      <formula>AI56="病"</formula>
    </cfRule>
  </conditionalFormatting>
  <conditionalFormatting sqref="G57:H57">
    <cfRule type="expression" dxfId="5" priority="8793">
      <formula>G57="探"</formula>
    </cfRule>
    <cfRule type="expression" dxfId="4" priority="8794">
      <formula>G57="年"</formula>
    </cfRule>
    <cfRule type="expression" dxfId="3" priority="8795">
      <formula>G57="事"</formula>
    </cfRule>
    <cfRule type="expression" dxfId="2" priority="8796">
      <formula>G57="病"</formula>
    </cfRule>
  </conditionalFormatting>
  <conditionalFormatting sqref="I57">
    <cfRule type="expression" dxfId="5" priority="8797">
      <formula>I57="探"</formula>
    </cfRule>
    <cfRule type="expression" dxfId="4" priority="8798">
      <formula>I57="年"</formula>
    </cfRule>
    <cfRule type="expression" dxfId="3" priority="8799">
      <formula>I57="事"</formula>
    </cfRule>
    <cfRule type="expression" dxfId="2" priority="8800">
      <formula>I57="病"</formula>
    </cfRule>
  </conditionalFormatting>
  <conditionalFormatting sqref="K57">
    <cfRule type="expression" dxfId="5" priority="5773">
      <formula>K57="探"</formula>
    </cfRule>
    <cfRule type="expression" dxfId="4" priority="5774">
      <formula>K57="年"</formula>
    </cfRule>
    <cfRule type="expression" dxfId="3" priority="5775">
      <formula>K57="事"</formula>
    </cfRule>
    <cfRule type="expression" dxfId="2" priority="5776">
      <formula>K57="病"</formula>
    </cfRule>
  </conditionalFormatting>
  <conditionalFormatting sqref="L57:M57">
    <cfRule type="expression" dxfId="5" priority="5765">
      <formula>L57="探"</formula>
    </cfRule>
    <cfRule type="expression" dxfId="4" priority="5766">
      <formula>L57="年"</formula>
    </cfRule>
    <cfRule type="expression" dxfId="3" priority="5767">
      <formula>L57="事"</formula>
    </cfRule>
    <cfRule type="expression" dxfId="2" priority="5768">
      <formula>L57="病"</formula>
    </cfRule>
  </conditionalFormatting>
  <conditionalFormatting sqref="N57">
    <cfRule type="expression" dxfId="5" priority="5769">
      <formula>N57="探"</formula>
    </cfRule>
    <cfRule type="expression" dxfId="4" priority="5770">
      <formula>N57="年"</formula>
    </cfRule>
    <cfRule type="expression" dxfId="3" priority="5771">
      <formula>N57="事"</formula>
    </cfRule>
    <cfRule type="expression" dxfId="2" priority="5772">
      <formula>N57="病"</formula>
    </cfRule>
  </conditionalFormatting>
  <conditionalFormatting sqref="O57">
    <cfRule type="expression" dxfId="5" priority="4873">
      <formula>O57="探"</formula>
    </cfRule>
    <cfRule type="expression" dxfId="4" priority="4874">
      <formula>O57="年"</formula>
    </cfRule>
    <cfRule type="expression" dxfId="3" priority="4875">
      <formula>O57="事"</formula>
    </cfRule>
    <cfRule type="expression" dxfId="2" priority="4876">
      <formula>O57="病"</formula>
    </cfRule>
  </conditionalFormatting>
  <conditionalFormatting sqref="P57">
    <cfRule type="expression" dxfId="5" priority="4869">
      <formula>P57="探"</formula>
    </cfRule>
    <cfRule type="expression" dxfId="4" priority="4870">
      <formula>P57="年"</formula>
    </cfRule>
    <cfRule type="expression" dxfId="3" priority="4871">
      <formula>P57="事"</formula>
    </cfRule>
    <cfRule type="expression" dxfId="2" priority="4872">
      <formula>P57="病"</formula>
    </cfRule>
  </conditionalFormatting>
  <conditionalFormatting sqref="Q57">
    <cfRule type="expression" dxfId="5" priority="4861">
      <formula>Q57="探"</formula>
    </cfRule>
    <cfRule type="expression" dxfId="4" priority="4862">
      <formula>Q57="年"</formula>
    </cfRule>
    <cfRule type="expression" dxfId="3" priority="4863">
      <formula>Q57="事"</formula>
    </cfRule>
    <cfRule type="expression" dxfId="2" priority="4864">
      <formula>Q57="病"</formula>
    </cfRule>
  </conditionalFormatting>
  <conditionalFormatting sqref="R57">
    <cfRule type="expression" dxfId="5" priority="4865">
      <formula>R57="探"</formula>
    </cfRule>
    <cfRule type="expression" dxfId="4" priority="4866">
      <formula>R57="年"</formula>
    </cfRule>
    <cfRule type="expression" dxfId="3" priority="4867">
      <formula>R57="事"</formula>
    </cfRule>
    <cfRule type="expression" dxfId="2" priority="4868">
      <formula>R57="病"</formula>
    </cfRule>
  </conditionalFormatting>
  <conditionalFormatting sqref="S57">
    <cfRule type="expression" dxfId="5" priority="4857">
      <formula>S57="探"</formula>
    </cfRule>
    <cfRule type="expression" dxfId="4" priority="4858">
      <formula>S57="年"</formula>
    </cfRule>
    <cfRule type="expression" dxfId="3" priority="4859">
      <formula>S57="事"</formula>
    </cfRule>
    <cfRule type="expression" dxfId="2" priority="4860">
      <formula>S57="病"</formula>
    </cfRule>
  </conditionalFormatting>
  <conditionalFormatting sqref="T57">
    <cfRule type="expression" dxfId="5" priority="4853">
      <formula>T57="探"</formula>
    </cfRule>
    <cfRule type="expression" dxfId="4" priority="4854">
      <formula>T57="年"</formula>
    </cfRule>
    <cfRule type="expression" dxfId="3" priority="4855">
      <formula>T57="事"</formula>
    </cfRule>
    <cfRule type="expression" dxfId="2" priority="4856">
      <formula>T57="病"</formula>
    </cfRule>
  </conditionalFormatting>
  <conditionalFormatting sqref="U57">
    <cfRule type="expression" dxfId="5" priority="4181">
      <formula>U57="探"</formula>
    </cfRule>
    <cfRule type="expression" dxfId="4" priority="4182">
      <formula>U57="年"</formula>
    </cfRule>
    <cfRule type="expression" dxfId="3" priority="4183">
      <formula>U57="事"</formula>
    </cfRule>
    <cfRule type="expression" dxfId="2" priority="4184">
      <formula>U57="病"</formula>
    </cfRule>
  </conditionalFormatting>
  <conditionalFormatting sqref="V57">
    <cfRule type="expression" dxfId="5" priority="4185">
      <formula>V57="探"</formula>
    </cfRule>
    <cfRule type="expression" dxfId="4" priority="4186">
      <formula>V57="年"</formula>
    </cfRule>
    <cfRule type="expression" dxfId="3" priority="4187">
      <formula>V57="事"</formula>
    </cfRule>
    <cfRule type="expression" dxfId="2" priority="4188">
      <formula>V57="病"</formula>
    </cfRule>
  </conditionalFormatting>
  <conditionalFormatting sqref="W57">
    <cfRule type="expression" dxfId="5" priority="4177">
      <formula>W57="探"</formula>
    </cfRule>
    <cfRule type="expression" dxfId="4" priority="4178">
      <formula>W57="年"</formula>
    </cfRule>
    <cfRule type="expression" dxfId="3" priority="4179">
      <formula>W57="事"</formula>
    </cfRule>
    <cfRule type="expression" dxfId="2" priority="4180">
      <formula>W57="病"</formula>
    </cfRule>
  </conditionalFormatting>
  <conditionalFormatting sqref="X57">
    <cfRule type="expression" dxfId="5" priority="4173">
      <formula>X57="探"</formula>
    </cfRule>
    <cfRule type="expression" dxfId="4" priority="4174">
      <formula>X57="年"</formula>
    </cfRule>
    <cfRule type="expression" dxfId="3" priority="4175">
      <formula>X57="事"</formula>
    </cfRule>
    <cfRule type="expression" dxfId="2" priority="4176">
      <formula>X57="病"</formula>
    </cfRule>
  </conditionalFormatting>
  <conditionalFormatting sqref="Y57">
    <cfRule type="expression" dxfId="2" priority="1932">
      <formula>Y57="病"</formula>
    </cfRule>
    <cfRule type="expression" dxfId="3" priority="1931">
      <formula>Y57="事"</formula>
    </cfRule>
    <cfRule type="expression" dxfId="4" priority="1930">
      <formula>Y57="年"</formula>
    </cfRule>
    <cfRule type="expression" dxfId="5" priority="1929">
      <formula>Y57="探"</formula>
    </cfRule>
  </conditionalFormatting>
  <conditionalFormatting sqref="Z57">
    <cfRule type="expression" dxfId="2" priority="1936">
      <formula>Z57="病"</formula>
    </cfRule>
    <cfRule type="expression" dxfId="3" priority="1935">
      <formula>Z57="事"</formula>
    </cfRule>
    <cfRule type="expression" dxfId="4" priority="1934">
      <formula>Z57="年"</formula>
    </cfRule>
    <cfRule type="expression" dxfId="5" priority="1933">
      <formula>Z57="探"</formula>
    </cfRule>
  </conditionalFormatting>
  <conditionalFormatting sqref="AA57">
    <cfRule type="expression" dxfId="2" priority="1928">
      <formula>AA57="病"</formula>
    </cfRule>
    <cfRule type="expression" dxfId="3" priority="1927">
      <formula>AA57="事"</formula>
    </cfRule>
    <cfRule type="expression" dxfId="4" priority="1926">
      <formula>AA57="年"</formula>
    </cfRule>
    <cfRule type="expression" dxfId="5" priority="1925">
      <formula>AA57="探"</formula>
    </cfRule>
  </conditionalFormatting>
  <conditionalFormatting sqref="AB57">
    <cfRule type="expression" dxfId="2" priority="1924">
      <formula>AB57="病"</formula>
    </cfRule>
    <cfRule type="expression" dxfId="3" priority="1923">
      <formula>AB57="事"</formula>
    </cfRule>
    <cfRule type="expression" dxfId="4" priority="1922">
      <formula>AB57="年"</formula>
    </cfRule>
    <cfRule type="expression" dxfId="5" priority="1921">
      <formula>AB57="探"</formula>
    </cfRule>
  </conditionalFormatting>
  <conditionalFormatting sqref="AC57">
    <cfRule type="expression" dxfId="2" priority="1916">
      <formula>AC57="病"</formula>
    </cfRule>
    <cfRule type="expression" dxfId="3" priority="1915">
      <formula>AC57="事"</formula>
    </cfRule>
    <cfRule type="expression" dxfId="4" priority="1914">
      <formula>AC57="年"</formula>
    </cfRule>
    <cfRule type="expression" dxfId="5" priority="1913">
      <formula>AC57="探"</formula>
    </cfRule>
  </conditionalFormatting>
  <conditionalFormatting sqref="AD57">
    <cfRule type="expression" dxfId="2" priority="1920">
      <formula>AD57="病"</formula>
    </cfRule>
    <cfRule type="expression" dxfId="3" priority="1919">
      <formula>AD57="事"</formula>
    </cfRule>
    <cfRule type="expression" dxfId="4" priority="1918">
      <formula>AD57="年"</formula>
    </cfRule>
    <cfRule type="expression" dxfId="5" priority="1917">
      <formula>AD57="探"</formula>
    </cfRule>
  </conditionalFormatting>
  <conditionalFormatting sqref="AE57">
    <cfRule type="expression" dxfId="2" priority="1912">
      <formula>AE57="病"</formula>
    </cfRule>
    <cfRule type="expression" dxfId="3" priority="1911">
      <formula>AE57="事"</formula>
    </cfRule>
    <cfRule type="expression" dxfId="4" priority="1910">
      <formula>AE57="年"</formula>
    </cfRule>
    <cfRule type="expression" dxfId="5" priority="1909">
      <formula>AE57="探"</formula>
    </cfRule>
  </conditionalFormatting>
  <conditionalFormatting sqref="AF57">
    <cfRule type="expression" dxfId="2" priority="768">
      <formula>AF57="病"</formula>
    </cfRule>
    <cfRule type="expression" dxfId="3" priority="767">
      <formula>AF57="事"</formula>
    </cfRule>
    <cfRule type="expression" dxfId="4" priority="766">
      <formula>AF57="年"</formula>
    </cfRule>
    <cfRule type="expression" dxfId="5" priority="765">
      <formula>AF57="探"</formula>
    </cfRule>
  </conditionalFormatting>
  <conditionalFormatting sqref="AG57">
    <cfRule type="expression" dxfId="2" priority="760">
      <formula>AG57="病"</formula>
    </cfRule>
    <cfRule type="expression" dxfId="3" priority="759">
      <formula>AG57="事"</formula>
    </cfRule>
    <cfRule type="expression" dxfId="4" priority="758">
      <formula>AG57="年"</formula>
    </cfRule>
    <cfRule type="expression" dxfId="5" priority="757">
      <formula>AG57="探"</formula>
    </cfRule>
  </conditionalFormatting>
  <conditionalFormatting sqref="AH57">
    <cfRule type="expression" dxfId="2" priority="764">
      <formula>AH57="病"</formula>
    </cfRule>
    <cfRule type="expression" dxfId="3" priority="763">
      <formula>AH57="事"</formula>
    </cfRule>
    <cfRule type="expression" dxfId="4" priority="762">
      <formula>AH57="年"</formula>
    </cfRule>
    <cfRule type="expression" dxfId="5" priority="761">
      <formula>AH57="探"</formula>
    </cfRule>
  </conditionalFormatting>
  <conditionalFormatting sqref="AI57">
    <cfRule type="expression" dxfId="2" priority="756">
      <formula>AI57="病"</formula>
    </cfRule>
    <cfRule type="expression" dxfId="3" priority="755">
      <formula>AI57="事"</formula>
    </cfRule>
    <cfRule type="expression" dxfId="4" priority="754">
      <formula>AI57="年"</formula>
    </cfRule>
    <cfRule type="expression" dxfId="5" priority="753">
      <formula>AI57="探"</formula>
    </cfRule>
  </conditionalFormatting>
  <conditionalFormatting sqref="AJ57">
    <cfRule type="expression" dxfId="2" priority="752">
      <formula>AJ57="病"</formula>
    </cfRule>
    <cfRule type="expression" dxfId="3" priority="751">
      <formula>AJ57="事"</formula>
    </cfRule>
    <cfRule type="expression" dxfId="4" priority="750">
      <formula>AJ57="年"</formula>
    </cfRule>
    <cfRule type="expression" dxfId="5" priority="749">
      <formula>AJ57="探"</formula>
    </cfRule>
  </conditionalFormatting>
  <conditionalFormatting sqref="AK57">
    <cfRule type="expression" dxfId="5" priority="6917">
      <formula>AK57="探"</formula>
    </cfRule>
    <cfRule type="expression" dxfId="4" priority="6918">
      <formula>AK57="年"</formula>
    </cfRule>
    <cfRule type="expression" dxfId="3" priority="6919">
      <formula>AK57="事"</formula>
    </cfRule>
    <cfRule type="expression" dxfId="2" priority="6920">
      <formula>AK57="病"</formula>
    </cfRule>
  </conditionalFormatting>
  <conditionalFormatting sqref="G58:H58">
    <cfRule type="expression" dxfId="5" priority="6285">
      <formula>G58="探"</formula>
    </cfRule>
    <cfRule type="expression" dxfId="4" priority="6286">
      <formula>G58="年"</formula>
    </cfRule>
    <cfRule type="expression" dxfId="3" priority="6287">
      <formula>G58="事"</formula>
    </cfRule>
    <cfRule type="expression" dxfId="2" priority="6288">
      <formula>G58="病"</formula>
    </cfRule>
  </conditionalFormatting>
  <conditionalFormatting sqref="I58:J58">
    <cfRule type="expression" dxfId="5" priority="6289">
      <formula>I58="探"</formula>
    </cfRule>
    <cfRule type="expression" dxfId="4" priority="6290">
      <formula>I58="年"</formula>
    </cfRule>
    <cfRule type="expression" dxfId="3" priority="6291">
      <formula>I58="事"</formula>
    </cfRule>
    <cfRule type="expression" dxfId="2" priority="6292">
      <formula>I58="病"</formula>
    </cfRule>
  </conditionalFormatting>
  <conditionalFormatting sqref="K58">
    <cfRule type="expression" dxfId="5" priority="5761">
      <formula>K58="探"</formula>
    </cfRule>
    <cfRule type="expression" dxfId="4" priority="5762">
      <formula>K58="年"</formula>
    </cfRule>
    <cfRule type="expression" dxfId="3" priority="5763">
      <formula>K58="事"</formula>
    </cfRule>
    <cfRule type="expression" dxfId="2" priority="5764">
      <formula>K58="病"</formula>
    </cfRule>
  </conditionalFormatting>
  <conditionalFormatting sqref="L58:M58">
    <cfRule type="expression" dxfId="5" priority="5757">
      <formula>L58="探"</formula>
    </cfRule>
    <cfRule type="expression" dxfId="4" priority="5758">
      <formula>L58="年"</formula>
    </cfRule>
    <cfRule type="expression" dxfId="3" priority="5759">
      <formula>L58="事"</formula>
    </cfRule>
    <cfRule type="expression" dxfId="2" priority="5760">
      <formula>L58="病"</formula>
    </cfRule>
  </conditionalFormatting>
  <conditionalFormatting sqref="N58">
    <cfRule type="expression" dxfId="5" priority="5753">
      <formula>N58="探"</formula>
    </cfRule>
    <cfRule type="expression" dxfId="4" priority="5754">
      <formula>N58="年"</formula>
    </cfRule>
    <cfRule type="expression" dxfId="3" priority="5755">
      <formula>N58="事"</formula>
    </cfRule>
    <cfRule type="expression" dxfId="2" priority="5756">
      <formula>N58="病"</formula>
    </cfRule>
  </conditionalFormatting>
  <conditionalFormatting sqref="O58">
    <cfRule type="expression" dxfId="5" priority="4845">
      <formula>O58="探"</formula>
    </cfRule>
    <cfRule type="expression" dxfId="4" priority="4846">
      <formula>O58="年"</formula>
    </cfRule>
    <cfRule type="expression" dxfId="3" priority="4847">
      <formula>O58="事"</formula>
    </cfRule>
    <cfRule type="expression" dxfId="2" priority="4848">
      <formula>O58="病"</formula>
    </cfRule>
  </conditionalFormatting>
  <conditionalFormatting sqref="P58">
    <cfRule type="expression" dxfId="5" priority="4849">
      <formula>P58="探"</formula>
    </cfRule>
    <cfRule type="expression" dxfId="4" priority="4850">
      <formula>P58="年"</formula>
    </cfRule>
    <cfRule type="expression" dxfId="3" priority="4851">
      <formula>P58="事"</formula>
    </cfRule>
    <cfRule type="expression" dxfId="2" priority="4852">
      <formula>P58="病"</formula>
    </cfRule>
  </conditionalFormatting>
  <conditionalFormatting sqref="Q58">
    <cfRule type="expression" dxfId="5" priority="4841">
      <formula>Q58="探"</formula>
    </cfRule>
    <cfRule type="expression" dxfId="4" priority="4842">
      <formula>Q58="年"</formula>
    </cfRule>
    <cfRule type="expression" dxfId="3" priority="4843">
      <formula>Q58="事"</formula>
    </cfRule>
    <cfRule type="expression" dxfId="2" priority="4844">
      <formula>Q58="病"</formula>
    </cfRule>
  </conditionalFormatting>
  <conditionalFormatting sqref="R58:S58">
    <cfRule type="expression" dxfId="5" priority="4833">
      <formula>R58="探"</formula>
    </cfRule>
    <cfRule type="expression" dxfId="4" priority="4834">
      <formula>R58="年"</formula>
    </cfRule>
    <cfRule type="expression" dxfId="3" priority="4835">
      <formula>R58="事"</formula>
    </cfRule>
    <cfRule type="expression" dxfId="2" priority="4836">
      <formula>R58="病"</formula>
    </cfRule>
  </conditionalFormatting>
  <conditionalFormatting sqref="T58">
    <cfRule type="expression" dxfId="5" priority="4837">
      <formula>T58="探"</formula>
    </cfRule>
    <cfRule type="expression" dxfId="4" priority="4838">
      <formula>T58="年"</formula>
    </cfRule>
    <cfRule type="expression" dxfId="3" priority="4839">
      <formula>T58="事"</formula>
    </cfRule>
    <cfRule type="expression" dxfId="2" priority="4840">
      <formula>T58="病"</formula>
    </cfRule>
  </conditionalFormatting>
  <conditionalFormatting sqref="U58">
    <cfRule type="expression" dxfId="5" priority="4169">
      <formula>U58="探"</formula>
    </cfRule>
    <cfRule type="expression" dxfId="4" priority="4170">
      <formula>U58="年"</formula>
    </cfRule>
    <cfRule type="expression" dxfId="3" priority="4171">
      <formula>U58="事"</formula>
    </cfRule>
    <cfRule type="expression" dxfId="2" priority="4172">
      <formula>U58="病"</formula>
    </cfRule>
  </conditionalFormatting>
  <conditionalFormatting sqref="V58">
    <cfRule type="expression" dxfId="5" priority="4165">
      <formula>V58="探"</formula>
    </cfRule>
    <cfRule type="expression" dxfId="4" priority="4166">
      <formula>V58="年"</formula>
    </cfRule>
    <cfRule type="expression" dxfId="3" priority="4167">
      <formula>V58="事"</formula>
    </cfRule>
    <cfRule type="expression" dxfId="2" priority="4168">
      <formula>V58="病"</formula>
    </cfRule>
  </conditionalFormatting>
  <conditionalFormatting sqref="W58">
    <cfRule type="expression" dxfId="5" priority="4157">
      <formula>W58="探"</formula>
    </cfRule>
    <cfRule type="expression" dxfId="4" priority="4158">
      <formula>W58="年"</formula>
    </cfRule>
    <cfRule type="expression" dxfId="3" priority="4159">
      <formula>W58="事"</formula>
    </cfRule>
    <cfRule type="expression" dxfId="2" priority="4160">
      <formula>W58="病"</formula>
    </cfRule>
  </conditionalFormatting>
  <conditionalFormatting sqref="X58">
    <cfRule type="expression" dxfId="5" priority="4161">
      <formula>X58="探"</formula>
    </cfRule>
    <cfRule type="expression" dxfId="4" priority="4162">
      <formula>X58="年"</formula>
    </cfRule>
    <cfRule type="expression" dxfId="3" priority="4163">
      <formula>X58="事"</formula>
    </cfRule>
    <cfRule type="expression" dxfId="2" priority="4164">
      <formula>X58="病"</formula>
    </cfRule>
  </conditionalFormatting>
  <conditionalFormatting sqref="Y58">
    <cfRule type="expression" dxfId="5" priority="2409">
      <formula>Y58="探"</formula>
    </cfRule>
    <cfRule type="expression" dxfId="4" priority="2410">
      <formula>Y58="年"</formula>
    </cfRule>
    <cfRule type="expression" dxfId="3" priority="2411">
      <formula>Y58="事"</formula>
    </cfRule>
    <cfRule type="expression" dxfId="2" priority="2412">
      <formula>Y58="病"</formula>
    </cfRule>
  </conditionalFormatting>
  <conditionalFormatting sqref="Z58">
    <cfRule type="expression" dxfId="5" priority="2405">
      <formula>Z58="探"</formula>
    </cfRule>
    <cfRule type="expression" dxfId="4" priority="2406">
      <formula>Z58="年"</formula>
    </cfRule>
    <cfRule type="expression" dxfId="3" priority="2407">
      <formula>Z58="事"</formula>
    </cfRule>
    <cfRule type="expression" dxfId="2" priority="2408">
      <formula>Z58="病"</formula>
    </cfRule>
  </conditionalFormatting>
  <conditionalFormatting sqref="AA58:AC58">
    <cfRule type="expression" dxfId="5" priority="2397">
      <formula>AA58="探"</formula>
    </cfRule>
    <cfRule type="expression" dxfId="4" priority="2398">
      <formula>AA58="年"</formula>
    </cfRule>
    <cfRule type="expression" dxfId="3" priority="2399">
      <formula>AA58="事"</formula>
    </cfRule>
    <cfRule type="expression" dxfId="2" priority="2400">
      <formula>AA58="病"</formula>
    </cfRule>
  </conditionalFormatting>
  <conditionalFormatting sqref="AD58">
    <cfRule type="expression" dxfId="5" priority="2389">
      <formula>AD58="探"</formula>
    </cfRule>
    <cfRule type="expression" dxfId="4" priority="2390">
      <formula>AD58="年"</formula>
    </cfRule>
    <cfRule type="expression" dxfId="3" priority="2391">
      <formula>AD58="事"</formula>
    </cfRule>
    <cfRule type="expression" dxfId="2" priority="2392">
      <formula>AD58="病"</formula>
    </cfRule>
  </conditionalFormatting>
  <conditionalFormatting sqref="AE58">
    <cfRule type="expression" dxfId="5" priority="2385">
      <formula>AE58="探"</formula>
    </cfRule>
    <cfRule type="expression" dxfId="4" priority="2386">
      <formula>AE58="年"</formula>
    </cfRule>
    <cfRule type="expression" dxfId="3" priority="2387">
      <formula>AE58="事"</formula>
    </cfRule>
    <cfRule type="expression" dxfId="2" priority="2388">
      <formula>AE58="病"</formula>
    </cfRule>
  </conditionalFormatting>
  <conditionalFormatting sqref="AF58">
    <cfRule type="expression" dxfId="5" priority="6913">
      <formula>AF58="探"</formula>
    </cfRule>
    <cfRule type="expression" dxfId="4" priority="6914">
      <formula>AF58="年"</formula>
    </cfRule>
    <cfRule type="expression" dxfId="3" priority="6915">
      <formula>AF58="事"</formula>
    </cfRule>
    <cfRule type="expression" dxfId="2" priority="6916">
      <formula>AF58="病"</formula>
    </cfRule>
  </conditionalFormatting>
  <conditionalFormatting sqref="AG58:AH58">
    <cfRule type="expression" dxfId="5" priority="6909">
      <formula>AG58="探"</formula>
    </cfRule>
    <cfRule type="expression" dxfId="4" priority="6910">
      <formula>AG58="年"</formula>
    </cfRule>
    <cfRule type="expression" dxfId="3" priority="6911">
      <formula>AG58="事"</formula>
    </cfRule>
    <cfRule type="expression" dxfId="2" priority="6912">
      <formula>AG58="病"</formula>
    </cfRule>
  </conditionalFormatting>
  <conditionalFormatting sqref="AI58:AJ58">
    <cfRule type="expression" dxfId="5" priority="6905">
      <formula>AI58="探"</formula>
    </cfRule>
    <cfRule type="expression" dxfId="4" priority="6906">
      <formula>AI58="年"</formula>
    </cfRule>
    <cfRule type="expression" dxfId="3" priority="6907">
      <formula>AI58="事"</formula>
    </cfRule>
    <cfRule type="expression" dxfId="2" priority="6908">
      <formula>AI58="病"</formula>
    </cfRule>
  </conditionalFormatting>
  <conditionalFormatting sqref="AK58">
    <cfRule type="expression" dxfId="5" priority="6901">
      <formula>AK58="探"</formula>
    </cfRule>
    <cfRule type="expression" dxfId="4" priority="6902">
      <formula>AK58="年"</formula>
    </cfRule>
    <cfRule type="expression" dxfId="3" priority="6903">
      <formula>AK58="事"</formula>
    </cfRule>
    <cfRule type="expression" dxfId="2" priority="6904">
      <formula>AK58="病"</formula>
    </cfRule>
  </conditionalFormatting>
  <conditionalFormatting sqref="K59">
    <cfRule type="expression" dxfId="5" priority="5749">
      <formula>K59="探"</formula>
    </cfRule>
    <cfRule type="expression" dxfId="4" priority="5750">
      <formula>K59="年"</formula>
    </cfRule>
    <cfRule type="expression" dxfId="3" priority="5751">
      <formula>K59="事"</formula>
    </cfRule>
    <cfRule type="expression" dxfId="2" priority="5752">
      <formula>K59="病"</formula>
    </cfRule>
  </conditionalFormatting>
  <conditionalFormatting sqref="L59">
    <cfRule type="expression" dxfId="5" priority="5745">
      <formula>L59="探"</formula>
    </cfRule>
    <cfRule type="expression" dxfId="4" priority="5746">
      <formula>L59="年"</formula>
    </cfRule>
    <cfRule type="expression" dxfId="3" priority="5747">
      <formula>L59="事"</formula>
    </cfRule>
    <cfRule type="expression" dxfId="2" priority="5748">
      <formula>L59="病"</formula>
    </cfRule>
  </conditionalFormatting>
  <conditionalFormatting sqref="M59:N59">
    <cfRule type="expression" dxfId="5" priority="5741">
      <formula>M59="探"</formula>
    </cfRule>
    <cfRule type="expression" dxfId="4" priority="5742">
      <formula>M59="年"</formula>
    </cfRule>
    <cfRule type="expression" dxfId="3" priority="5743">
      <formula>M59="事"</formula>
    </cfRule>
    <cfRule type="expression" dxfId="2" priority="5744">
      <formula>M59="病"</formula>
    </cfRule>
  </conditionalFormatting>
  <conditionalFormatting sqref="O59">
    <cfRule type="expression" dxfId="5" priority="4829">
      <formula>O59="探"</formula>
    </cfRule>
    <cfRule type="expression" dxfId="4" priority="4830">
      <formula>O59="年"</formula>
    </cfRule>
    <cfRule type="expression" dxfId="3" priority="4831">
      <formula>O59="事"</formula>
    </cfRule>
    <cfRule type="expression" dxfId="2" priority="4832">
      <formula>O59="病"</formula>
    </cfRule>
  </conditionalFormatting>
  <conditionalFormatting sqref="P59">
    <cfRule type="expression" dxfId="5" priority="4821">
      <formula>P59="探"</formula>
    </cfRule>
    <cfRule type="expression" dxfId="4" priority="4822">
      <formula>P59="年"</formula>
    </cfRule>
    <cfRule type="expression" dxfId="3" priority="4823">
      <formula>P59="事"</formula>
    </cfRule>
    <cfRule type="expression" dxfId="2" priority="4824">
      <formula>P59="病"</formula>
    </cfRule>
  </conditionalFormatting>
  <conditionalFormatting sqref="Q59">
    <cfRule type="expression" dxfId="5" priority="4825">
      <formula>Q59="探"</formula>
    </cfRule>
    <cfRule type="expression" dxfId="4" priority="4826">
      <formula>Q59="年"</formula>
    </cfRule>
    <cfRule type="expression" dxfId="3" priority="4827">
      <formula>Q59="事"</formula>
    </cfRule>
    <cfRule type="expression" dxfId="2" priority="4828">
      <formula>Q59="病"</formula>
    </cfRule>
  </conditionalFormatting>
  <conditionalFormatting sqref="R59">
    <cfRule type="expression" dxfId="5" priority="4817">
      <formula>R59="探"</formula>
    </cfRule>
    <cfRule type="expression" dxfId="4" priority="4818">
      <formula>R59="年"</formula>
    </cfRule>
    <cfRule type="expression" dxfId="3" priority="4819">
      <formula>R59="事"</formula>
    </cfRule>
    <cfRule type="expression" dxfId="2" priority="4820">
      <formula>R59="病"</formula>
    </cfRule>
  </conditionalFormatting>
  <conditionalFormatting sqref="S59:T59">
    <cfRule type="expression" dxfId="5" priority="4813">
      <formula>S59="探"</formula>
    </cfRule>
    <cfRule type="expression" dxfId="4" priority="4814">
      <formula>S59="年"</formula>
    </cfRule>
    <cfRule type="expression" dxfId="3" priority="4815">
      <formula>S59="事"</formula>
    </cfRule>
    <cfRule type="expression" dxfId="2" priority="4816">
      <formula>S59="病"</formula>
    </cfRule>
  </conditionalFormatting>
  <conditionalFormatting sqref="U59:V59">
    <cfRule type="expression" dxfId="5" priority="4153">
      <formula>U59="探"</formula>
    </cfRule>
    <cfRule type="expression" dxfId="4" priority="4154">
      <formula>U59="年"</formula>
    </cfRule>
    <cfRule type="expression" dxfId="3" priority="4155">
      <formula>U59="事"</formula>
    </cfRule>
    <cfRule type="expression" dxfId="2" priority="4156">
      <formula>U59="病"</formula>
    </cfRule>
  </conditionalFormatting>
  <conditionalFormatting sqref="W59">
    <cfRule type="expression" dxfId="5" priority="4149">
      <formula>W59="探"</formula>
    </cfRule>
    <cfRule type="expression" dxfId="4" priority="4150">
      <formula>W59="年"</formula>
    </cfRule>
    <cfRule type="expression" dxfId="3" priority="4151">
      <formula>W59="事"</formula>
    </cfRule>
    <cfRule type="expression" dxfId="2" priority="4152">
      <formula>W59="病"</formula>
    </cfRule>
  </conditionalFormatting>
  <conditionalFormatting sqref="X59">
    <cfRule type="expression" dxfId="5" priority="4145">
      <formula>X59="探"</formula>
    </cfRule>
    <cfRule type="expression" dxfId="4" priority="4146">
      <formula>X59="年"</formula>
    </cfRule>
    <cfRule type="expression" dxfId="3" priority="4147">
      <formula>X59="事"</formula>
    </cfRule>
    <cfRule type="expression" dxfId="2" priority="4148">
      <formula>X59="病"</formula>
    </cfRule>
  </conditionalFormatting>
  <conditionalFormatting sqref="Y59">
    <cfRule type="expression" dxfId="5" priority="2381">
      <formula>Y59="探"</formula>
    </cfRule>
    <cfRule type="expression" dxfId="4" priority="2382">
      <formula>Y59="年"</formula>
    </cfRule>
    <cfRule type="expression" dxfId="3" priority="2383">
      <formula>Y59="事"</formula>
    </cfRule>
    <cfRule type="expression" dxfId="2" priority="2384">
      <formula>Y59="病"</formula>
    </cfRule>
  </conditionalFormatting>
  <conditionalFormatting sqref="Z59">
    <cfRule type="expression" dxfId="5" priority="2377">
      <formula>Z59="探"</formula>
    </cfRule>
    <cfRule type="expression" dxfId="4" priority="2378">
      <formula>Z59="年"</formula>
    </cfRule>
    <cfRule type="expression" dxfId="3" priority="2379">
      <formula>Z59="事"</formula>
    </cfRule>
    <cfRule type="expression" dxfId="2" priority="2380">
      <formula>Z59="病"</formula>
    </cfRule>
  </conditionalFormatting>
  <conditionalFormatting sqref="AA59">
    <cfRule type="expression" dxfId="5" priority="2373">
      <formula>AA59="探"</formula>
    </cfRule>
    <cfRule type="expression" dxfId="4" priority="2374">
      <formula>AA59="年"</formula>
    </cfRule>
    <cfRule type="expression" dxfId="3" priority="2375">
      <formula>AA59="事"</formula>
    </cfRule>
    <cfRule type="expression" dxfId="2" priority="2376">
      <formula>AA59="病"</formula>
    </cfRule>
  </conditionalFormatting>
  <conditionalFormatting sqref="AB59">
    <cfRule type="expression" dxfId="5" priority="2365">
      <formula>AB59="探"</formula>
    </cfRule>
    <cfRule type="expression" dxfId="4" priority="2366">
      <formula>AB59="年"</formula>
    </cfRule>
    <cfRule type="expression" dxfId="3" priority="2367">
      <formula>AB59="事"</formula>
    </cfRule>
    <cfRule type="expression" dxfId="2" priority="2368">
      <formula>AB59="病"</formula>
    </cfRule>
  </conditionalFormatting>
  <conditionalFormatting sqref="AC59">
    <cfRule type="expression" dxfId="5" priority="2369">
      <formula>AC59="探"</formula>
    </cfRule>
    <cfRule type="expression" dxfId="4" priority="2370">
      <formula>AC59="年"</formula>
    </cfRule>
    <cfRule type="expression" dxfId="3" priority="2371">
      <formula>AC59="事"</formula>
    </cfRule>
    <cfRule type="expression" dxfId="2" priority="2372">
      <formula>AC59="病"</formula>
    </cfRule>
  </conditionalFormatting>
  <conditionalFormatting sqref="AD59:AE59">
    <cfRule type="expression" dxfId="5" priority="2361">
      <formula>AD59="探"</formula>
    </cfRule>
    <cfRule type="expression" dxfId="4" priority="2362">
      <formula>AD59="年"</formula>
    </cfRule>
    <cfRule type="expression" dxfId="3" priority="2363">
      <formula>AD59="事"</formula>
    </cfRule>
    <cfRule type="expression" dxfId="2" priority="2364">
      <formula>AD59="病"</formula>
    </cfRule>
  </conditionalFormatting>
  <conditionalFormatting sqref="AF59">
    <cfRule type="expression" dxfId="2" priority="748">
      <formula>AF59="病"</formula>
    </cfRule>
    <cfRule type="expression" dxfId="3" priority="747">
      <formula>AF59="事"</formula>
    </cfRule>
    <cfRule type="expression" dxfId="4" priority="746">
      <formula>AF59="年"</formula>
    </cfRule>
    <cfRule type="expression" dxfId="5" priority="745">
      <formula>AF59="探"</formula>
    </cfRule>
  </conditionalFormatting>
  <conditionalFormatting sqref="AG59:AH59">
    <cfRule type="expression" dxfId="2" priority="744">
      <formula>AG59="病"</formula>
    </cfRule>
    <cfRule type="expression" dxfId="3" priority="743">
      <formula>AG59="事"</formula>
    </cfRule>
    <cfRule type="expression" dxfId="4" priority="742">
      <formula>AG59="年"</formula>
    </cfRule>
    <cfRule type="expression" dxfId="5" priority="741">
      <formula>AG59="探"</formula>
    </cfRule>
  </conditionalFormatting>
  <conditionalFormatting sqref="AI59">
    <cfRule type="expression" dxfId="2" priority="740">
      <formula>AI59="病"</formula>
    </cfRule>
    <cfRule type="expression" dxfId="3" priority="739">
      <formula>AI59="事"</formula>
    </cfRule>
    <cfRule type="expression" dxfId="4" priority="738">
      <formula>AI59="年"</formula>
    </cfRule>
    <cfRule type="expression" dxfId="5" priority="737">
      <formula>AI59="探"</formula>
    </cfRule>
  </conditionalFormatting>
  <conditionalFormatting sqref="AJ59">
    <cfRule type="expression" dxfId="2" priority="736">
      <formula>AJ59="病"</formula>
    </cfRule>
    <cfRule type="expression" dxfId="3" priority="735">
      <formula>AJ59="事"</formula>
    </cfRule>
    <cfRule type="expression" dxfId="4" priority="734">
      <formula>AJ59="年"</formula>
    </cfRule>
    <cfRule type="expression" dxfId="5" priority="733">
      <formula>AJ59="探"</formula>
    </cfRule>
  </conditionalFormatting>
  <conditionalFormatting sqref="AK59">
    <cfRule type="expression" dxfId="2" priority="732">
      <formula>AK59="病"</formula>
    </cfRule>
    <cfRule type="expression" dxfId="3" priority="731">
      <formula>AK59="事"</formula>
    </cfRule>
    <cfRule type="expression" dxfId="4" priority="730">
      <formula>AK59="年"</formula>
    </cfRule>
    <cfRule type="expression" dxfId="5" priority="729">
      <formula>AK59="探"</formula>
    </cfRule>
  </conditionalFormatting>
  <conditionalFormatting sqref="I60:J60">
    <cfRule type="expression" dxfId="5" priority="8985">
      <formula>I60="探"</formula>
    </cfRule>
    <cfRule type="expression" dxfId="4" priority="8986">
      <formula>I60="年"</formula>
    </cfRule>
    <cfRule type="expression" dxfId="3" priority="8987">
      <formula>I60="事"</formula>
    </cfRule>
    <cfRule type="expression" dxfId="2" priority="8988">
      <formula>I60="病"</formula>
    </cfRule>
  </conditionalFormatting>
  <conditionalFormatting sqref="P60:T60">
    <cfRule type="expression" dxfId="5" priority="8665">
      <formula>P60="探"</formula>
    </cfRule>
    <cfRule type="expression" dxfId="4" priority="8666">
      <formula>P60="年"</formula>
    </cfRule>
    <cfRule type="expression" dxfId="3" priority="8667">
      <formula>P60="事"</formula>
    </cfRule>
    <cfRule type="expression" dxfId="2" priority="8668">
      <formula>P60="病"</formula>
    </cfRule>
  </conditionalFormatting>
  <conditionalFormatting sqref="Y60:Z60">
    <cfRule type="expression" dxfId="2" priority="1900">
      <formula>Y60="病"</formula>
    </cfRule>
    <cfRule type="expression" dxfId="3" priority="1899">
      <formula>Y60="事"</formula>
    </cfRule>
    <cfRule type="expression" dxfId="4" priority="1898">
      <formula>Y60="年"</formula>
    </cfRule>
    <cfRule type="expression" dxfId="5" priority="1897">
      <formula>Y60="探"</formula>
    </cfRule>
  </conditionalFormatting>
  <conditionalFormatting sqref="AA60">
    <cfRule type="expression" dxfId="2" priority="1908">
      <formula>AA60="病"</formula>
    </cfRule>
    <cfRule type="expression" dxfId="3" priority="1907">
      <formula>AA60="事"</formula>
    </cfRule>
    <cfRule type="expression" dxfId="4" priority="1906">
      <formula>AA60="年"</formula>
    </cfRule>
    <cfRule type="expression" dxfId="5" priority="1905">
      <formula>AA60="探"</formula>
    </cfRule>
  </conditionalFormatting>
  <conditionalFormatting sqref="AB60:AE60">
    <cfRule type="expression" dxfId="2" priority="1904">
      <formula>AB60="病"</formula>
    </cfRule>
    <cfRule type="expression" dxfId="3" priority="1903">
      <formula>AB60="事"</formula>
    </cfRule>
    <cfRule type="expression" dxfId="4" priority="1902">
      <formula>AB60="年"</formula>
    </cfRule>
    <cfRule type="expression" dxfId="5" priority="1901">
      <formula>AB60="探"</formula>
    </cfRule>
  </conditionalFormatting>
  <conditionalFormatting sqref="AF60">
    <cfRule type="expression" dxfId="2" priority="724">
      <formula>AF60="病"</formula>
    </cfRule>
    <cfRule type="expression" dxfId="3" priority="723">
      <formula>AF60="事"</formula>
    </cfRule>
    <cfRule type="expression" dxfId="4" priority="722">
      <formula>AF60="年"</formula>
    </cfRule>
    <cfRule type="expression" dxfId="5" priority="721">
      <formula>AF60="探"</formula>
    </cfRule>
  </conditionalFormatting>
  <conditionalFormatting sqref="AG60:AH60">
    <cfRule type="expression" dxfId="2" priority="712">
      <formula>AG60="病"</formula>
    </cfRule>
    <cfRule type="expression" dxfId="3" priority="711">
      <formula>AG60="事"</formula>
    </cfRule>
    <cfRule type="expression" dxfId="4" priority="710">
      <formula>AG60="年"</formula>
    </cfRule>
    <cfRule type="expression" dxfId="5" priority="709">
      <formula>AG60="探"</formula>
    </cfRule>
  </conditionalFormatting>
  <conditionalFormatting sqref="AI60">
    <cfRule type="expression" dxfId="2" priority="720">
      <formula>AI60="病"</formula>
    </cfRule>
    <cfRule type="expression" dxfId="3" priority="719">
      <formula>AI60="事"</formula>
    </cfRule>
    <cfRule type="expression" dxfId="4" priority="718">
      <formula>AI60="年"</formula>
    </cfRule>
    <cfRule type="expression" dxfId="5" priority="717">
      <formula>AI60="探"</formula>
    </cfRule>
  </conditionalFormatting>
  <conditionalFormatting sqref="AJ60:AK60">
    <cfRule type="expression" dxfId="2" priority="716">
      <formula>AJ60="病"</formula>
    </cfRule>
    <cfRule type="expression" dxfId="3" priority="715">
      <formula>AJ60="事"</formula>
    </cfRule>
    <cfRule type="expression" dxfId="4" priority="714">
      <formula>AJ60="年"</formula>
    </cfRule>
    <cfRule type="expression" dxfId="5" priority="713">
      <formula>AJ60="探"</formula>
    </cfRule>
  </conditionalFormatting>
  <conditionalFormatting sqref="O61">
    <cfRule type="expression" dxfId="5" priority="4809">
      <formula>O61="探"</formula>
    </cfRule>
    <cfRule type="expression" dxfId="4" priority="4810">
      <formula>O61="年"</formula>
    </cfRule>
    <cfRule type="expression" dxfId="3" priority="4811">
      <formula>O61="事"</formula>
    </cfRule>
    <cfRule type="expression" dxfId="2" priority="4812">
      <formula>O61="病"</formula>
    </cfRule>
  </conditionalFormatting>
  <conditionalFormatting sqref="P61">
    <cfRule type="expression" dxfId="5" priority="4805">
      <formula>P61="探"</formula>
    </cfRule>
    <cfRule type="expression" dxfId="4" priority="4806">
      <formula>P61="年"</formula>
    </cfRule>
    <cfRule type="expression" dxfId="3" priority="4807">
      <formula>P61="事"</formula>
    </cfRule>
    <cfRule type="expression" dxfId="2" priority="4808">
      <formula>P61="病"</formula>
    </cfRule>
  </conditionalFormatting>
  <conditionalFormatting sqref="Q61:R61">
    <cfRule type="expression" dxfId="5" priority="4797">
      <formula>Q61="探"</formula>
    </cfRule>
    <cfRule type="expression" dxfId="4" priority="4798">
      <formula>Q61="年"</formula>
    </cfRule>
    <cfRule type="expression" dxfId="3" priority="4799">
      <formula>Q61="事"</formula>
    </cfRule>
    <cfRule type="expression" dxfId="2" priority="4800">
      <formula>Q61="病"</formula>
    </cfRule>
  </conditionalFormatting>
  <conditionalFormatting sqref="S61">
    <cfRule type="expression" dxfId="5" priority="4801">
      <formula>S61="探"</formula>
    </cfRule>
    <cfRule type="expression" dxfId="4" priority="4802">
      <formula>S61="年"</formula>
    </cfRule>
    <cfRule type="expression" dxfId="3" priority="4803">
      <formula>S61="事"</formula>
    </cfRule>
    <cfRule type="expression" dxfId="2" priority="4804">
      <formula>S61="病"</formula>
    </cfRule>
  </conditionalFormatting>
  <conditionalFormatting sqref="T61">
    <cfRule type="expression" dxfId="5" priority="4793">
      <formula>T61="探"</formula>
    </cfRule>
    <cfRule type="expression" dxfId="4" priority="4794">
      <formula>T61="年"</formula>
    </cfRule>
    <cfRule type="expression" dxfId="3" priority="4795">
      <formula>T61="事"</formula>
    </cfRule>
    <cfRule type="expression" dxfId="2" priority="4796">
      <formula>T61="病"</formula>
    </cfRule>
  </conditionalFormatting>
  <conditionalFormatting sqref="Y61:Z61">
    <cfRule type="expression" dxfId="5" priority="2353">
      <formula>Y61="探"</formula>
    </cfRule>
    <cfRule type="expression" dxfId="4" priority="2354">
      <formula>Y61="年"</formula>
    </cfRule>
    <cfRule type="expression" dxfId="3" priority="2355">
      <formula>Y61="事"</formula>
    </cfRule>
    <cfRule type="expression" dxfId="2" priority="2356">
      <formula>Y61="病"</formula>
    </cfRule>
  </conditionalFormatting>
  <conditionalFormatting sqref="AA61:AE61">
    <cfRule type="expression" dxfId="5" priority="2357">
      <formula>AA61="探"</formula>
    </cfRule>
    <cfRule type="expression" dxfId="4" priority="2358">
      <formula>AA61="年"</formula>
    </cfRule>
    <cfRule type="expression" dxfId="3" priority="2359">
      <formula>AA61="事"</formula>
    </cfRule>
    <cfRule type="expression" dxfId="2" priority="2360">
      <formula>AA61="病"</formula>
    </cfRule>
  </conditionalFormatting>
  <conditionalFormatting sqref="AF61:AK61">
    <cfRule type="expression" dxfId="5" priority="8165">
      <formula>AF61="探"</formula>
    </cfRule>
    <cfRule type="expression" dxfId="4" priority="8166">
      <formula>AF61="年"</formula>
    </cfRule>
    <cfRule type="expression" dxfId="3" priority="8167">
      <formula>AF61="事"</formula>
    </cfRule>
    <cfRule type="expression" dxfId="2" priority="8168">
      <formula>AF61="病"</formula>
    </cfRule>
  </conditionalFormatting>
  <conditionalFormatting sqref="U62">
    <cfRule type="expression" dxfId="5" priority="4125">
      <formula>U62="探"</formula>
    </cfRule>
    <cfRule type="expression" dxfId="4" priority="4126">
      <formula>U62="年"</formula>
    </cfRule>
    <cfRule type="expression" dxfId="3" priority="4127">
      <formula>U62="事"</formula>
    </cfRule>
    <cfRule type="expression" dxfId="2" priority="4128">
      <formula>U62="病"</formula>
    </cfRule>
  </conditionalFormatting>
  <conditionalFormatting sqref="V62">
    <cfRule type="expression" dxfId="5" priority="4121">
      <formula>V62="探"</formula>
    </cfRule>
    <cfRule type="expression" dxfId="4" priority="4122">
      <formula>V62="年"</formula>
    </cfRule>
    <cfRule type="expression" dxfId="3" priority="4123">
      <formula>V62="事"</formula>
    </cfRule>
    <cfRule type="expression" dxfId="2" priority="4124">
      <formula>V62="病"</formula>
    </cfRule>
  </conditionalFormatting>
  <conditionalFormatting sqref="W62">
    <cfRule type="expression" dxfId="5" priority="4117">
      <formula>W62="探"</formula>
    </cfRule>
    <cfRule type="expression" dxfId="4" priority="4118">
      <formula>W62="年"</formula>
    </cfRule>
    <cfRule type="expression" dxfId="3" priority="4119">
      <formula>W62="事"</formula>
    </cfRule>
    <cfRule type="expression" dxfId="2" priority="4120">
      <formula>W62="病"</formula>
    </cfRule>
  </conditionalFormatting>
  <conditionalFormatting sqref="X62">
    <cfRule type="expression" dxfId="5" priority="4113">
      <formula>X62="探"</formula>
    </cfRule>
    <cfRule type="expression" dxfId="4" priority="4114">
      <formula>X62="年"</formula>
    </cfRule>
    <cfRule type="expression" dxfId="3" priority="4115">
      <formula>X62="事"</formula>
    </cfRule>
    <cfRule type="expression" dxfId="2" priority="4116">
      <formula>X62="病"</formula>
    </cfRule>
  </conditionalFormatting>
  <conditionalFormatting sqref="Y62">
    <cfRule type="expression" dxfId="5" priority="2333">
      <formula>Y62="探"</formula>
    </cfRule>
    <cfRule type="expression" dxfId="4" priority="2334">
      <formula>Y62="年"</formula>
    </cfRule>
    <cfRule type="expression" dxfId="3" priority="2335">
      <formula>Y62="事"</formula>
    </cfRule>
    <cfRule type="expression" dxfId="2" priority="2336">
      <formula>Y62="病"</formula>
    </cfRule>
  </conditionalFormatting>
  <conditionalFormatting sqref="Z62">
    <cfRule type="expression" dxfId="5" priority="2337">
      <formula>Z62="探"</formula>
    </cfRule>
    <cfRule type="expression" dxfId="4" priority="2338">
      <formula>Z62="年"</formula>
    </cfRule>
    <cfRule type="expression" dxfId="3" priority="2339">
      <formula>Z62="事"</formula>
    </cfRule>
    <cfRule type="expression" dxfId="2" priority="2340">
      <formula>Z62="病"</formula>
    </cfRule>
  </conditionalFormatting>
  <conditionalFormatting sqref="AA62">
    <cfRule type="expression" dxfId="5" priority="2329">
      <formula>AA62="探"</formula>
    </cfRule>
    <cfRule type="expression" dxfId="4" priority="2330">
      <formula>AA62="年"</formula>
    </cfRule>
    <cfRule type="expression" dxfId="3" priority="2331">
      <formula>AA62="事"</formula>
    </cfRule>
    <cfRule type="expression" dxfId="2" priority="2332">
      <formula>AA62="病"</formula>
    </cfRule>
  </conditionalFormatting>
  <conditionalFormatting sqref="AB62:AE62">
    <cfRule type="expression" dxfId="5" priority="2325">
      <formula>AB62="探"</formula>
    </cfRule>
    <cfRule type="expression" dxfId="4" priority="2326">
      <formula>AB62="年"</formula>
    </cfRule>
    <cfRule type="expression" dxfId="3" priority="2327">
      <formula>AB62="事"</formula>
    </cfRule>
    <cfRule type="expression" dxfId="2" priority="2328">
      <formula>AB62="病"</formula>
    </cfRule>
  </conditionalFormatting>
  <conditionalFormatting sqref="AF62">
    <cfRule type="expression" dxfId="5" priority="6873">
      <formula>AF62="探"</formula>
    </cfRule>
    <cfRule type="expression" dxfId="4" priority="6874">
      <formula>AF62="年"</formula>
    </cfRule>
    <cfRule type="expression" dxfId="3" priority="6875">
      <formula>AF62="事"</formula>
    </cfRule>
    <cfRule type="expression" dxfId="2" priority="6876">
      <formula>AF62="病"</formula>
    </cfRule>
  </conditionalFormatting>
  <conditionalFormatting sqref="AG62">
    <cfRule type="expression" dxfId="5" priority="6877">
      <formula>AG62="探"</formula>
    </cfRule>
    <cfRule type="expression" dxfId="4" priority="6878">
      <formula>AG62="年"</formula>
    </cfRule>
    <cfRule type="expression" dxfId="3" priority="6879">
      <formula>AG62="事"</formula>
    </cfRule>
    <cfRule type="expression" dxfId="2" priority="6880">
      <formula>AG62="病"</formula>
    </cfRule>
  </conditionalFormatting>
  <conditionalFormatting sqref="AH62">
    <cfRule type="expression" dxfId="5" priority="6869">
      <formula>AH62="探"</formula>
    </cfRule>
    <cfRule type="expression" dxfId="4" priority="6870">
      <formula>AH62="年"</formula>
    </cfRule>
    <cfRule type="expression" dxfId="3" priority="6871">
      <formula>AH62="事"</formula>
    </cfRule>
    <cfRule type="expression" dxfId="2" priority="6872">
      <formula>AH62="病"</formula>
    </cfRule>
  </conditionalFormatting>
  <conditionalFormatting sqref="AI62:AK62">
    <cfRule type="expression" dxfId="5" priority="6865">
      <formula>AI62="探"</formula>
    </cfRule>
    <cfRule type="expression" dxfId="4" priority="6866">
      <formula>AI62="年"</formula>
    </cfRule>
    <cfRule type="expression" dxfId="3" priority="6867">
      <formula>AI62="事"</formula>
    </cfRule>
    <cfRule type="expression" dxfId="2" priority="6868">
      <formula>AI62="病"</formula>
    </cfRule>
  </conditionalFormatting>
  <conditionalFormatting sqref="U63">
    <cfRule type="expression" dxfId="5" priority="4109">
      <formula>U63="探"</formula>
    </cfRule>
    <cfRule type="expression" dxfId="4" priority="4110">
      <formula>U63="年"</formula>
    </cfRule>
    <cfRule type="expression" dxfId="3" priority="4111">
      <formula>U63="事"</formula>
    </cfRule>
    <cfRule type="expression" dxfId="2" priority="4112">
      <formula>U63="病"</formula>
    </cfRule>
  </conditionalFormatting>
  <conditionalFormatting sqref="V63">
    <cfRule type="expression" dxfId="5" priority="4105">
      <formula>V63="探"</formula>
    </cfRule>
    <cfRule type="expression" dxfId="4" priority="4106">
      <formula>V63="年"</formula>
    </cfRule>
    <cfRule type="expression" dxfId="3" priority="4107">
      <formula>V63="事"</formula>
    </cfRule>
    <cfRule type="expression" dxfId="2" priority="4108">
      <formula>V63="病"</formula>
    </cfRule>
  </conditionalFormatting>
  <conditionalFormatting sqref="W63">
    <cfRule type="expression" dxfId="5" priority="4101">
      <formula>W63="探"</formula>
    </cfRule>
    <cfRule type="expression" dxfId="4" priority="4102">
      <formula>W63="年"</formula>
    </cfRule>
    <cfRule type="expression" dxfId="3" priority="4103">
      <formula>W63="事"</formula>
    </cfRule>
    <cfRule type="expression" dxfId="2" priority="4104">
      <formula>W63="病"</formula>
    </cfRule>
  </conditionalFormatting>
  <conditionalFormatting sqref="X63">
    <cfRule type="expression" dxfId="5" priority="4097">
      <formula>X63="探"</formula>
    </cfRule>
    <cfRule type="expression" dxfId="4" priority="4098">
      <formula>X63="年"</formula>
    </cfRule>
    <cfRule type="expression" dxfId="3" priority="4099">
      <formula>X63="事"</formula>
    </cfRule>
    <cfRule type="expression" dxfId="2" priority="4100">
      <formula>X63="病"</formula>
    </cfRule>
  </conditionalFormatting>
  <conditionalFormatting sqref="Y63">
    <cfRule type="expression" dxfId="2" priority="1896">
      <formula>Y63="病"</formula>
    </cfRule>
    <cfRule type="expression" dxfId="3" priority="1895">
      <formula>Y63="事"</formula>
    </cfRule>
    <cfRule type="expression" dxfId="4" priority="1894">
      <formula>Y63="年"</formula>
    </cfRule>
    <cfRule type="expression" dxfId="5" priority="1893">
      <formula>Y63="探"</formula>
    </cfRule>
  </conditionalFormatting>
  <conditionalFormatting sqref="Z63">
    <cfRule type="expression" dxfId="2" priority="1892">
      <formula>Z63="病"</formula>
    </cfRule>
    <cfRule type="expression" dxfId="3" priority="1891">
      <formula>Z63="事"</formula>
    </cfRule>
    <cfRule type="expression" dxfId="4" priority="1890">
      <formula>Z63="年"</formula>
    </cfRule>
    <cfRule type="expression" dxfId="5" priority="1889">
      <formula>Z63="探"</formula>
    </cfRule>
  </conditionalFormatting>
  <conditionalFormatting sqref="AA63">
    <cfRule type="expression" dxfId="2" priority="1888">
      <formula>AA63="病"</formula>
    </cfRule>
    <cfRule type="expression" dxfId="3" priority="1887">
      <formula>AA63="事"</formula>
    </cfRule>
    <cfRule type="expression" dxfId="4" priority="1886">
      <formula>AA63="年"</formula>
    </cfRule>
    <cfRule type="expression" dxfId="5" priority="1885">
      <formula>AA63="探"</formula>
    </cfRule>
  </conditionalFormatting>
  <conditionalFormatting sqref="AB63">
    <cfRule type="expression" dxfId="2" priority="1884">
      <formula>AB63="病"</formula>
    </cfRule>
    <cfRule type="expression" dxfId="3" priority="1883">
      <formula>AB63="事"</formula>
    </cfRule>
    <cfRule type="expression" dxfId="4" priority="1882">
      <formula>AB63="年"</formula>
    </cfRule>
    <cfRule type="expression" dxfId="5" priority="1881">
      <formula>AB63="探"</formula>
    </cfRule>
  </conditionalFormatting>
  <conditionalFormatting sqref="AC63">
    <cfRule type="expression" dxfId="2" priority="1876">
      <formula>AC63="病"</formula>
    </cfRule>
    <cfRule type="expression" dxfId="3" priority="1875">
      <formula>AC63="事"</formula>
    </cfRule>
    <cfRule type="expression" dxfId="4" priority="1874">
      <formula>AC63="年"</formula>
    </cfRule>
    <cfRule type="expression" dxfId="5" priority="1873">
      <formula>AC63="探"</formula>
    </cfRule>
  </conditionalFormatting>
  <conditionalFormatting sqref="AD63">
    <cfRule type="expression" dxfId="2" priority="1880">
      <formula>AD63="病"</formula>
    </cfRule>
    <cfRule type="expression" dxfId="3" priority="1879">
      <formula>AD63="事"</formula>
    </cfRule>
    <cfRule type="expression" dxfId="4" priority="1878">
      <formula>AD63="年"</formula>
    </cfRule>
    <cfRule type="expression" dxfId="5" priority="1877">
      <formula>AD63="探"</formula>
    </cfRule>
  </conditionalFormatting>
  <conditionalFormatting sqref="AF63">
    <cfRule type="expression" dxfId="2" priority="708">
      <formula>AF63="病"</formula>
    </cfRule>
    <cfRule type="expression" dxfId="3" priority="707">
      <formula>AF63="事"</formula>
    </cfRule>
    <cfRule type="expression" dxfId="4" priority="706">
      <formula>AF63="年"</formula>
    </cfRule>
    <cfRule type="expression" dxfId="5" priority="705">
      <formula>AF63="探"</formula>
    </cfRule>
  </conditionalFormatting>
  <conditionalFormatting sqref="AG63">
    <cfRule type="expression" dxfId="2" priority="704">
      <formula>AG63="病"</formula>
    </cfRule>
    <cfRule type="expression" dxfId="3" priority="703">
      <formula>AG63="事"</formula>
    </cfRule>
    <cfRule type="expression" dxfId="4" priority="702">
      <formula>AG63="年"</formula>
    </cfRule>
    <cfRule type="expression" dxfId="5" priority="701">
      <formula>AG63="探"</formula>
    </cfRule>
  </conditionalFormatting>
  <conditionalFormatting sqref="AH63">
    <cfRule type="expression" dxfId="2" priority="700">
      <formula>AH63="病"</formula>
    </cfRule>
    <cfRule type="expression" dxfId="3" priority="699">
      <formula>AH63="事"</formula>
    </cfRule>
    <cfRule type="expression" dxfId="4" priority="698">
      <formula>AH63="年"</formula>
    </cfRule>
    <cfRule type="expression" dxfId="5" priority="697">
      <formula>AH63="探"</formula>
    </cfRule>
  </conditionalFormatting>
  <conditionalFormatting sqref="AI63">
    <cfRule type="expression" dxfId="2" priority="696">
      <formula>AI63="病"</formula>
    </cfRule>
    <cfRule type="expression" dxfId="3" priority="695">
      <formula>AI63="事"</formula>
    </cfRule>
    <cfRule type="expression" dxfId="4" priority="694">
      <formula>AI63="年"</formula>
    </cfRule>
    <cfRule type="expression" dxfId="5" priority="693">
      <formula>AI63="探"</formula>
    </cfRule>
  </conditionalFormatting>
  <conditionalFormatting sqref="AJ63">
    <cfRule type="expression" dxfId="2" priority="692">
      <formula>AJ63="病"</formula>
    </cfRule>
    <cfRule type="expression" dxfId="3" priority="691">
      <formula>AJ63="事"</formula>
    </cfRule>
    <cfRule type="expression" dxfId="4" priority="690">
      <formula>AJ63="年"</formula>
    </cfRule>
    <cfRule type="expression" dxfId="5" priority="689">
      <formula>AJ63="探"</formula>
    </cfRule>
  </conditionalFormatting>
  <conditionalFormatting sqref="AK63">
    <cfRule type="expression" dxfId="2" priority="684">
      <formula>AK63="病"</formula>
    </cfRule>
    <cfRule type="expression" dxfId="3" priority="683">
      <formula>AK63="事"</formula>
    </cfRule>
    <cfRule type="expression" dxfId="4" priority="682">
      <formula>AK63="年"</formula>
    </cfRule>
    <cfRule type="expression" dxfId="5" priority="681">
      <formula>AK63="探"</formula>
    </cfRule>
  </conditionalFormatting>
  <conditionalFormatting sqref="K64:L64">
    <cfRule type="expression" dxfId="5" priority="5717">
      <formula>K64="探"</formula>
    </cfRule>
    <cfRule type="expression" dxfId="4" priority="5718">
      <formula>K64="年"</formula>
    </cfRule>
    <cfRule type="expression" dxfId="3" priority="5719">
      <formula>K64="事"</formula>
    </cfRule>
    <cfRule type="expression" dxfId="2" priority="5720">
      <formula>K64="病"</formula>
    </cfRule>
  </conditionalFormatting>
  <conditionalFormatting sqref="M64:N64">
    <cfRule type="expression" dxfId="5" priority="5713">
      <formula>M64="探"</formula>
    </cfRule>
    <cfRule type="expression" dxfId="4" priority="5714">
      <formula>M64="年"</formula>
    </cfRule>
    <cfRule type="expression" dxfId="3" priority="5715">
      <formula>M64="事"</formula>
    </cfRule>
    <cfRule type="expression" dxfId="2" priority="5716">
      <formula>M64="病"</formula>
    </cfRule>
  </conditionalFormatting>
  <conditionalFormatting sqref="O64">
    <cfRule type="expression" dxfId="5" priority="4765">
      <formula>O64="探"</formula>
    </cfRule>
    <cfRule type="expression" dxfId="4" priority="4766">
      <formula>O64="年"</formula>
    </cfRule>
    <cfRule type="expression" dxfId="3" priority="4767">
      <formula>O64="事"</formula>
    </cfRule>
    <cfRule type="expression" dxfId="2" priority="4768">
      <formula>O64="病"</formula>
    </cfRule>
  </conditionalFormatting>
  <conditionalFormatting sqref="P64">
    <cfRule type="expression" dxfId="5" priority="4761">
      <formula>P64="探"</formula>
    </cfRule>
    <cfRule type="expression" dxfId="4" priority="4762">
      <formula>P64="年"</formula>
    </cfRule>
    <cfRule type="expression" dxfId="3" priority="4763">
      <formula>P64="事"</formula>
    </cfRule>
    <cfRule type="expression" dxfId="2" priority="4764">
      <formula>P64="病"</formula>
    </cfRule>
  </conditionalFormatting>
  <conditionalFormatting sqref="Q64:R64">
    <cfRule type="expression" dxfId="5" priority="4753">
      <formula>Q64="探"</formula>
    </cfRule>
    <cfRule type="expression" dxfId="4" priority="4754">
      <formula>Q64="年"</formula>
    </cfRule>
    <cfRule type="expression" dxfId="3" priority="4755">
      <formula>Q64="事"</formula>
    </cfRule>
    <cfRule type="expression" dxfId="2" priority="4756">
      <formula>Q64="病"</formula>
    </cfRule>
  </conditionalFormatting>
  <conditionalFormatting sqref="S64">
    <cfRule type="expression" dxfId="5" priority="4757">
      <formula>S64="探"</formula>
    </cfRule>
    <cfRule type="expression" dxfId="4" priority="4758">
      <formula>S64="年"</formula>
    </cfRule>
    <cfRule type="expression" dxfId="3" priority="4759">
      <formula>S64="事"</formula>
    </cfRule>
    <cfRule type="expression" dxfId="2" priority="4760">
      <formula>S64="病"</formula>
    </cfRule>
  </conditionalFormatting>
  <conditionalFormatting sqref="T64">
    <cfRule type="expression" dxfId="5" priority="4749">
      <formula>T64="探"</formula>
    </cfRule>
    <cfRule type="expression" dxfId="4" priority="4750">
      <formula>T64="年"</formula>
    </cfRule>
    <cfRule type="expression" dxfId="3" priority="4751">
      <formula>T64="事"</formula>
    </cfRule>
    <cfRule type="expression" dxfId="2" priority="4752">
      <formula>T64="病"</formula>
    </cfRule>
  </conditionalFormatting>
  <conditionalFormatting sqref="U64">
    <cfRule type="expression" dxfId="5" priority="4093">
      <formula>U64="探"</formula>
    </cfRule>
    <cfRule type="expression" dxfId="4" priority="4094">
      <formula>U64="年"</formula>
    </cfRule>
    <cfRule type="expression" dxfId="3" priority="4095">
      <formula>U64="事"</formula>
    </cfRule>
    <cfRule type="expression" dxfId="2" priority="4096">
      <formula>U64="病"</formula>
    </cfRule>
  </conditionalFormatting>
  <conditionalFormatting sqref="V64">
    <cfRule type="expression" dxfId="5" priority="4089">
      <formula>V64="探"</formula>
    </cfRule>
    <cfRule type="expression" dxfId="4" priority="4090">
      <formula>V64="年"</formula>
    </cfRule>
    <cfRule type="expression" dxfId="3" priority="4091">
      <formula>V64="事"</formula>
    </cfRule>
    <cfRule type="expression" dxfId="2" priority="4092">
      <formula>V64="病"</formula>
    </cfRule>
  </conditionalFormatting>
  <conditionalFormatting sqref="W64">
    <cfRule type="expression" dxfId="5" priority="4085">
      <formula>W64="探"</formula>
    </cfRule>
    <cfRule type="expression" dxfId="4" priority="4086">
      <formula>W64="年"</formula>
    </cfRule>
    <cfRule type="expression" dxfId="3" priority="4087">
      <formula>W64="事"</formula>
    </cfRule>
    <cfRule type="expression" dxfId="2" priority="4088">
      <formula>W64="病"</formula>
    </cfRule>
  </conditionalFormatting>
  <conditionalFormatting sqref="X64">
    <cfRule type="expression" dxfId="5" priority="4081">
      <formula>X64="探"</formula>
    </cfRule>
    <cfRule type="expression" dxfId="4" priority="4082">
      <formula>X64="年"</formula>
    </cfRule>
    <cfRule type="expression" dxfId="3" priority="4083">
      <formula>X64="事"</formula>
    </cfRule>
    <cfRule type="expression" dxfId="2" priority="4084">
      <formula>X64="病"</formula>
    </cfRule>
  </conditionalFormatting>
  <conditionalFormatting sqref="Y64:Z64">
    <cfRule type="expression" dxfId="2" priority="1868">
      <formula>Y64="病"</formula>
    </cfRule>
    <cfRule type="expression" dxfId="3" priority="1867">
      <formula>Y64="事"</formula>
    </cfRule>
    <cfRule type="expression" dxfId="4" priority="1866">
      <formula>Y64="年"</formula>
    </cfRule>
    <cfRule type="expression" dxfId="5" priority="1865">
      <formula>Y64="探"</formula>
    </cfRule>
  </conditionalFormatting>
  <conditionalFormatting sqref="AA64">
    <cfRule type="expression" dxfId="2" priority="1872">
      <formula>AA64="病"</formula>
    </cfRule>
    <cfRule type="expression" dxfId="3" priority="1871">
      <formula>AA64="事"</formula>
    </cfRule>
    <cfRule type="expression" dxfId="4" priority="1870">
      <formula>AA64="年"</formula>
    </cfRule>
    <cfRule type="expression" dxfId="5" priority="1869">
      <formula>AA64="探"</formula>
    </cfRule>
  </conditionalFormatting>
  <conditionalFormatting sqref="AB64">
    <cfRule type="expression" dxfId="2" priority="1864">
      <formula>AB64="病"</formula>
    </cfRule>
    <cfRule type="expression" dxfId="3" priority="1863">
      <formula>AB64="事"</formula>
    </cfRule>
    <cfRule type="expression" dxfId="4" priority="1862">
      <formula>AB64="年"</formula>
    </cfRule>
    <cfRule type="expression" dxfId="5" priority="1861">
      <formula>AB64="探"</formula>
    </cfRule>
  </conditionalFormatting>
  <conditionalFormatting sqref="AC64">
    <cfRule type="expression" dxfId="2" priority="1860">
      <formula>AC64="病"</formula>
    </cfRule>
    <cfRule type="expression" dxfId="3" priority="1859">
      <formula>AC64="事"</formula>
    </cfRule>
    <cfRule type="expression" dxfId="4" priority="1858">
      <formula>AC64="年"</formula>
    </cfRule>
    <cfRule type="expression" dxfId="5" priority="1857">
      <formula>AC64="探"</formula>
    </cfRule>
  </conditionalFormatting>
  <conditionalFormatting sqref="AD64">
    <cfRule type="expression" dxfId="2" priority="1856">
      <formula>AD64="病"</formula>
    </cfRule>
    <cfRule type="expression" dxfId="3" priority="1855">
      <formula>AD64="事"</formula>
    </cfRule>
    <cfRule type="expression" dxfId="4" priority="1854">
      <formula>AD64="年"</formula>
    </cfRule>
    <cfRule type="expression" dxfId="5" priority="1853">
      <formula>AD64="探"</formula>
    </cfRule>
  </conditionalFormatting>
  <conditionalFormatting sqref="AF64">
    <cfRule type="expression" dxfId="2" priority="680">
      <formula>AF64="病"</formula>
    </cfRule>
    <cfRule type="expression" dxfId="3" priority="679">
      <formula>AF64="事"</formula>
    </cfRule>
    <cfRule type="expression" dxfId="4" priority="678">
      <formula>AF64="年"</formula>
    </cfRule>
    <cfRule type="expression" dxfId="5" priority="677">
      <formula>AF64="探"</formula>
    </cfRule>
  </conditionalFormatting>
  <conditionalFormatting sqref="AG64:AH64">
    <cfRule type="expression" dxfId="2" priority="672">
      <formula>AG64="病"</formula>
    </cfRule>
    <cfRule type="expression" dxfId="3" priority="671">
      <formula>AG64="事"</formula>
    </cfRule>
    <cfRule type="expression" dxfId="4" priority="670">
      <formula>AG64="年"</formula>
    </cfRule>
    <cfRule type="expression" dxfId="5" priority="669">
      <formula>AG64="探"</formula>
    </cfRule>
  </conditionalFormatting>
  <conditionalFormatting sqref="AI64">
    <cfRule type="expression" dxfId="2" priority="676">
      <formula>AI64="病"</formula>
    </cfRule>
    <cfRule type="expression" dxfId="3" priority="675">
      <formula>AI64="事"</formula>
    </cfRule>
    <cfRule type="expression" dxfId="4" priority="674">
      <formula>AI64="年"</formula>
    </cfRule>
    <cfRule type="expression" dxfId="5" priority="673">
      <formula>AI64="探"</formula>
    </cfRule>
  </conditionalFormatting>
  <conditionalFormatting sqref="AJ64">
    <cfRule type="expression" dxfId="2" priority="668">
      <formula>AJ64="病"</formula>
    </cfRule>
    <cfRule type="expression" dxfId="3" priority="667">
      <formula>AJ64="事"</formula>
    </cfRule>
    <cfRule type="expression" dxfId="4" priority="666">
      <formula>AJ64="年"</formula>
    </cfRule>
    <cfRule type="expression" dxfId="5" priority="665">
      <formula>AJ64="探"</formula>
    </cfRule>
  </conditionalFormatting>
  <conditionalFormatting sqref="AK64">
    <cfRule type="expression" dxfId="2" priority="664">
      <formula>AK64="病"</formula>
    </cfRule>
    <cfRule type="expression" dxfId="3" priority="663">
      <formula>AK64="事"</formula>
    </cfRule>
    <cfRule type="expression" dxfId="4" priority="662">
      <formula>AK64="年"</formula>
    </cfRule>
    <cfRule type="expression" dxfId="5" priority="661">
      <formula>AK64="探"</formula>
    </cfRule>
  </conditionalFormatting>
  <conditionalFormatting sqref="G65:H65">
    <cfRule type="expression" dxfId="5" priority="6277">
      <formula>G65="探"</formula>
    </cfRule>
    <cfRule type="expression" dxfId="4" priority="6278">
      <formula>G65="年"</formula>
    </cfRule>
    <cfRule type="expression" dxfId="3" priority="6279">
      <formula>G65="事"</formula>
    </cfRule>
    <cfRule type="expression" dxfId="2" priority="6280">
      <formula>G65="病"</formula>
    </cfRule>
  </conditionalFormatting>
  <conditionalFormatting sqref="I65:J65">
    <cfRule type="expression" dxfId="5" priority="6281">
      <formula>I65="探"</formula>
    </cfRule>
    <cfRule type="expression" dxfId="4" priority="6282">
      <formula>I65="年"</formula>
    </cfRule>
    <cfRule type="expression" dxfId="3" priority="6283">
      <formula>I65="事"</formula>
    </cfRule>
    <cfRule type="expression" dxfId="2" priority="6284">
      <formula>I65="病"</formula>
    </cfRule>
  </conditionalFormatting>
  <conditionalFormatting sqref="K65">
    <cfRule type="expression" dxfId="5" priority="5709">
      <formula>K65="探"</formula>
    </cfRule>
    <cfRule type="expression" dxfId="4" priority="5710">
      <formula>K65="年"</formula>
    </cfRule>
    <cfRule type="expression" dxfId="3" priority="5711">
      <formula>K65="事"</formula>
    </cfRule>
    <cfRule type="expression" dxfId="2" priority="5712">
      <formula>K65="病"</formula>
    </cfRule>
  </conditionalFormatting>
  <conditionalFormatting sqref="L65:M65">
    <cfRule type="expression" dxfId="5" priority="5705">
      <formula>L65="探"</formula>
    </cfRule>
    <cfRule type="expression" dxfId="4" priority="5706">
      <formula>L65="年"</formula>
    </cfRule>
    <cfRule type="expression" dxfId="3" priority="5707">
      <formula>L65="事"</formula>
    </cfRule>
    <cfRule type="expression" dxfId="2" priority="5708">
      <formula>L65="病"</formula>
    </cfRule>
  </conditionalFormatting>
  <conditionalFormatting sqref="N65">
    <cfRule type="expression" dxfId="5" priority="5701">
      <formula>N65="探"</formula>
    </cfRule>
    <cfRule type="expression" dxfId="4" priority="5702">
      <formula>N65="年"</formula>
    </cfRule>
    <cfRule type="expression" dxfId="3" priority="5703">
      <formula>N65="事"</formula>
    </cfRule>
    <cfRule type="expression" dxfId="2" priority="5704">
      <formula>N65="病"</formula>
    </cfRule>
  </conditionalFormatting>
  <conditionalFormatting sqref="O65">
    <cfRule type="expression" dxfId="5" priority="4741">
      <formula>O65="探"</formula>
    </cfRule>
    <cfRule type="expression" dxfId="4" priority="4742">
      <formula>O65="年"</formula>
    </cfRule>
    <cfRule type="expression" dxfId="3" priority="4743">
      <formula>O65="事"</formula>
    </cfRule>
    <cfRule type="expression" dxfId="2" priority="4744">
      <formula>O65="病"</formula>
    </cfRule>
  </conditionalFormatting>
  <conditionalFormatting sqref="P65">
    <cfRule type="expression" dxfId="5" priority="4745">
      <formula>P65="探"</formula>
    </cfRule>
    <cfRule type="expression" dxfId="4" priority="4746">
      <formula>P65="年"</formula>
    </cfRule>
    <cfRule type="expression" dxfId="3" priority="4747">
      <formula>P65="事"</formula>
    </cfRule>
    <cfRule type="expression" dxfId="2" priority="4748">
      <formula>P65="病"</formula>
    </cfRule>
  </conditionalFormatting>
  <conditionalFormatting sqref="Q65">
    <cfRule type="expression" dxfId="5" priority="4737">
      <formula>Q65="探"</formula>
    </cfRule>
    <cfRule type="expression" dxfId="4" priority="4738">
      <formula>Q65="年"</formula>
    </cfRule>
    <cfRule type="expression" dxfId="3" priority="4739">
      <formula>Q65="事"</formula>
    </cfRule>
    <cfRule type="expression" dxfId="2" priority="4740">
      <formula>Q65="病"</formula>
    </cfRule>
  </conditionalFormatting>
  <conditionalFormatting sqref="R65:S65">
    <cfRule type="expression" dxfId="5" priority="4729">
      <formula>R65="探"</formula>
    </cfRule>
    <cfRule type="expression" dxfId="4" priority="4730">
      <formula>R65="年"</formula>
    </cfRule>
    <cfRule type="expression" dxfId="3" priority="4731">
      <formula>R65="事"</formula>
    </cfRule>
    <cfRule type="expression" dxfId="2" priority="4732">
      <formula>R65="病"</formula>
    </cfRule>
  </conditionalFormatting>
  <conditionalFormatting sqref="T65">
    <cfRule type="expression" dxfId="5" priority="4733">
      <formula>T65="探"</formula>
    </cfRule>
    <cfRule type="expression" dxfId="4" priority="4734">
      <formula>T65="年"</formula>
    </cfRule>
    <cfRule type="expression" dxfId="3" priority="4735">
      <formula>T65="事"</formula>
    </cfRule>
    <cfRule type="expression" dxfId="2" priority="4736">
      <formula>T65="病"</formula>
    </cfRule>
  </conditionalFormatting>
  <conditionalFormatting sqref="U65">
    <cfRule type="expression" dxfId="5" priority="4077">
      <formula>U65="探"</formula>
    </cfRule>
    <cfRule type="expression" dxfId="4" priority="4078">
      <formula>U65="年"</formula>
    </cfRule>
    <cfRule type="expression" dxfId="3" priority="4079">
      <formula>U65="事"</formula>
    </cfRule>
    <cfRule type="expression" dxfId="2" priority="4080">
      <formula>U65="病"</formula>
    </cfRule>
  </conditionalFormatting>
  <conditionalFormatting sqref="V65">
    <cfRule type="expression" dxfId="5" priority="4073">
      <formula>V65="探"</formula>
    </cfRule>
    <cfRule type="expression" dxfId="4" priority="4074">
      <formula>V65="年"</formula>
    </cfRule>
    <cfRule type="expression" dxfId="3" priority="4075">
      <formula>V65="事"</formula>
    </cfRule>
    <cfRule type="expression" dxfId="2" priority="4076">
      <formula>V65="病"</formula>
    </cfRule>
  </conditionalFormatting>
  <conditionalFormatting sqref="W65">
    <cfRule type="expression" dxfId="5" priority="4069">
      <formula>W65="探"</formula>
    </cfRule>
    <cfRule type="expression" dxfId="4" priority="4070">
      <formula>W65="年"</formula>
    </cfRule>
    <cfRule type="expression" dxfId="3" priority="4071">
      <formula>W65="事"</formula>
    </cfRule>
    <cfRule type="expression" dxfId="2" priority="4072">
      <formula>W65="病"</formula>
    </cfRule>
  </conditionalFormatting>
  <conditionalFormatting sqref="X65">
    <cfRule type="expression" dxfId="5" priority="4065">
      <formula>X65="探"</formula>
    </cfRule>
    <cfRule type="expression" dxfId="4" priority="4066">
      <formula>X65="年"</formula>
    </cfRule>
    <cfRule type="expression" dxfId="3" priority="4067">
      <formula>X65="事"</formula>
    </cfRule>
    <cfRule type="expression" dxfId="2" priority="4068">
      <formula>X65="病"</formula>
    </cfRule>
  </conditionalFormatting>
  <conditionalFormatting sqref="Y65">
    <cfRule type="expression" dxfId="2" priority="1852">
      <formula>Y65="病"</formula>
    </cfRule>
    <cfRule type="expression" dxfId="3" priority="1851">
      <formula>Y65="事"</formula>
    </cfRule>
    <cfRule type="expression" dxfId="4" priority="1850">
      <formula>Y65="年"</formula>
    </cfRule>
    <cfRule type="expression" dxfId="5" priority="1849">
      <formula>Y65="探"</formula>
    </cfRule>
  </conditionalFormatting>
  <conditionalFormatting sqref="Z65:AA65">
    <cfRule type="expression" dxfId="2" priority="1844">
      <formula>Z65="病"</formula>
    </cfRule>
    <cfRule type="expression" dxfId="3" priority="1843">
      <formula>Z65="事"</formula>
    </cfRule>
    <cfRule type="expression" dxfId="4" priority="1842">
      <formula>Z65="年"</formula>
    </cfRule>
    <cfRule type="expression" dxfId="5" priority="1841">
      <formula>Z65="探"</formula>
    </cfRule>
  </conditionalFormatting>
  <conditionalFormatting sqref="AB65">
    <cfRule type="expression" dxfId="2" priority="1848">
      <formula>AB65="病"</formula>
    </cfRule>
    <cfRule type="expression" dxfId="3" priority="1847">
      <formula>AB65="事"</formula>
    </cfRule>
    <cfRule type="expression" dxfId="4" priority="1846">
      <formula>AB65="年"</formula>
    </cfRule>
    <cfRule type="expression" dxfId="5" priority="1845">
      <formula>AB65="探"</formula>
    </cfRule>
  </conditionalFormatting>
  <conditionalFormatting sqref="AC65">
    <cfRule type="expression" dxfId="2" priority="1840">
      <formula>AC65="病"</formula>
    </cfRule>
    <cfRule type="expression" dxfId="3" priority="1839">
      <formula>AC65="事"</formula>
    </cfRule>
    <cfRule type="expression" dxfId="4" priority="1838">
      <formula>AC65="年"</formula>
    </cfRule>
    <cfRule type="expression" dxfId="5" priority="1837">
      <formula>AC65="探"</formula>
    </cfRule>
  </conditionalFormatting>
  <conditionalFormatting sqref="AD65">
    <cfRule type="expression" dxfId="2" priority="1836">
      <formula>AD65="病"</formula>
    </cfRule>
    <cfRule type="expression" dxfId="3" priority="1835">
      <formula>AD65="事"</formula>
    </cfRule>
    <cfRule type="expression" dxfId="4" priority="1834">
      <formula>AD65="年"</formula>
    </cfRule>
    <cfRule type="expression" dxfId="5" priority="1833">
      <formula>AD65="探"</formula>
    </cfRule>
  </conditionalFormatting>
  <conditionalFormatting sqref="AE65">
    <cfRule type="expression" dxfId="5" priority="2261">
      <formula>AE65="探"</formula>
    </cfRule>
    <cfRule type="expression" dxfId="4" priority="2262">
      <formula>AE65="年"</formula>
    </cfRule>
    <cfRule type="expression" dxfId="3" priority="2263">
      <formula>AE65="事"</formula>
    </cfRule>
    <cfRule type="expression" dxfId="2" priority="2264">
      <formula>AE65="病"</formula>
    </cfRule>
  </conditionalFormatting>
  <conditionalFormatting sqref="AF65">
    <cfRule type="expression" dxfId="2" priority="660">
      <formula>AF65="病"</formula>
    </cfRule>
    <cfRule type="expression" dxfId="3" priority="659">
      <formula>AF65="事"</formula>
    </cfRule>
    <cfRule type="expression" dxfId="4" priority="658">
      <formula>AF65="年"</formula>
    </cfRule>
    <cfRule type="expression" dxfId="5" priority="657">
      <formula>AF65="探"</formula>
    </cfRule>
  </conditionalFormatting>
  <conditionalFormatting sqref="AG65">
    <cfRule type="expression" dxfId="2" priority="656">
      <formula>AG65="病"</formula>
    </cfRule>
    <cfRule type="expression" dxfId="3" priority="655">
      <formula>AG65="事"</formula>
    </cfRule>
    <cfRule type="expression" dxfId="4" priority="654">
      <formula>AG65="年"</formula>
    </cfRule>
    <cfRule type="expression" dxfId="5" priority="653">
      <formula>AG65="探"</formula>
    </cfRule>
  </conditionalFormatting>
  <conditionalFormatting sqref="AH65:AI65">
    <cfRule type="expression" dxfId="2" priority="648">
      <formula>AH65="病"</formula>
    </cfRule>
    <cfRule type="expression" dxfId="3" priority="647">
      <formula>AH65="事"</formula>
    </cfRule>
    <cfRule type="expression" dxfId="4" priority="646">
      <formula>AH65="年"</formula>
    </cfRule>
    <cfRule type="expression" dxfId="5" priority="645">
      <formula>AH65="探"</formula>
    </cfRule>
  </conditionalFormatting>
  <conditionalFormatting sqref="AJ65">
    <cfRule type="expression" dxfId="2" priority="652">
      <formula>AJ65="病"</formula>
    </cfRule>
    <cfRule type="expression" dxfId="3" priority="651">
      <formula>AJ65="事"</formula>
    </cfRule>
    <cfRule type="expression" dxfId="4" priority="650">
      <formula>AJ65="年"</formula>
    </cfRule>
    <cfRule type="expression" dxfId="5" priority="649">
      <formula>AJ65="探"</formula>
    </cfRule>
  </conditionalFormatting>
  <conditionalFormatting sqref="AK65">
    <cfRule type="expression" dxfId="2" priority="644">
      <formula>AK65="病"</formula>
    </cfRule>
    <cfRule type="expression" dxfId="3" priority="643">
      <formula>AK65="事"</formula>
    </cfRule>
    <cfRule type="expression" dxfId="4" priority="642">
      <formula>AK65="年"</formula>
    </cfRule>
    <cfRule type="expression" dxfId="5" priority="641">
      <formula>AK65="探"</formula>
    </cfRule>
  </conditionalFormatting>
  <conditionalFormatting sqref="I66:J66">
    <cfRule type="expression" dxfId="5" priority="6273">
      <formula>I66="探"</formula>
    </cfRule>
    <cfRule type="expression" dxfId="4" priority="6274">
      <formula>I66="年"</formula>
    </cfRule>
    <cfRule type="expression" dxfId="3" priority="6275">
      <formula>I66="事"</formula>
    </cfRule>
    <cfRule type="expression" dxfId="2" priority="6276">
      <formula>I66="病"</formula>
    </cfRule>
  </conditionalFormatting>
  <conditionalFormatting sqref="O66">
    <cfRule type="expression" dxfId="5" priority="4061">
      <formula>O66="探"</formula>
    </cfRule>
    <cfRule type="expression" dxfId="4" priority="4062">
      <formula>O66="年"</formula>
    </cfRule>
    <cfRule type="expression" dxfId="3" priority="4063">
      <formula>O66="事"</formula>
    </cfRule>
    <cfRule type="expression" dxfId="2" priority="4064">
      <formula>O66="病"</formula>
    </cfRule>
  </conditionalFormatting>
  <conditionalFormatting sqref="P66">
    <cfRule type="expression" dxfId="5" priority="4053">
      <formula>P66="探"</formula>
    </cfRule>
    <cfRule type="expression" dxfId="4" priority="4054">
      <formula>P66="年"</formula>
    </cfRule>
    <cfRule type="expression" dxfId="3" priority="4055">
      <formula>P66="事"</formula>
    </cfRule>
    <cfRule type="expression" dxfId="2" priority="4056">
      <formula>P66="病"</formula>
    </cfRule>
  </conditionalFormatting>
  <conditionalFormatting sqref="Q66">
    <cfRule type="expression" dxfId="5" priority="4057">
      <formula>Q66="探"</formula>
    </cfRule>
    <cfRule type="expression" dxfId="4" priority="4058">
      <formula>Q66="年"</formula>
    </cfRule>
    <cfRule type="expression" dxfId="3" priority="4059">
      <formula>Q66="事"</formula>
    </cfRule>
    <cfRule type="expression" dxfId="2" priority="4060">
      <formula>Q66="病"</formula>
    </cfRule>
  </conditionalFormatting>
  <conditionalFormatting sqref="R66">
    <cfRule type="expression" dxfId="5" priority="4049">
      <formula>R66="探"</formula>
    </cfRule>
    <cfRule type="expression" dxfId="4" priority="4050">
      <formula>R66="年"</formula>
    </cfRule>
    <cfRule type="expression" dxfId="3" priority="4051">
      <formula>R66="事"</formula>
    </cfRule>
    <cfRule type="expression" dxfId="2" priority="4052">
      <formula>R66="病"</formula>
    </cfRule>
  </conditionalFormatting>
  <conditionalFormatting sqref="S66">
    <cfRule type="expression" dxfId="5" priority="4045">
      <formula>S66="探"</formula>
    </cfRule>
    <cfRule type="expression" dxfId="4" priority="4046">
      <formula>S66="年"</formula>
    </cfRule>
    <cfRule type="expression" dxfId="3" priority="4047">
      <formula>S66="事"</formula>
    </cfRule>
    <cfRule type="expression" dxfId="2" priority="4048">
      <formula>S66="病"</formula>
    </cfRule>
  </conditionalFormatting>
  <conditionalFormatting sqref="T66">
    <cfRule type="expression" dxfId="5" priority="4041">
      <formula>T66="探"</formula>
    </cfRule>
    <cfRule type="expression" dxfId="4" priority="4042">
      <formula>T66="年"</formula>
    </cfRule>
    <cfRule type="expression" dxfId="3" priority="4043">
      <formula>T66="事"</formula>
    </cfRule>
    <cfRule type="expression" dxfId="2" priority="4044">
      <formula>T66="病"</formula>
    </cfRule>
  </conditionalFormatting>
  <conditionalFormatting sqref="U66">
    <cfRule type="expression" dxfId="5" priority="4037">
      <formula>U66="探"</formula>
    </cfRule>
    <cfRule type="expression" dxfId="4" priority="4038">
      <formula>U66="年"</formula>
    </cfRule>
    <cfRule type="expression" dxfId="3" priority="4039">
      <formula>U66="事"</formula>
    </cfRule>
    <cfRule type="expression" dxfId="2" priority="4040">
      <formula>U66="病"</formula>
    </cfRule>
  </conditionalFormatting>
  <conditionalFormatting sqref="V66">
    <cfRule type="expression" dxfId="5" priority="4033">
      <formula>V66="探"</formula>
    </cfRule>
    <cfRule type="expression" dxfId="4" priority="4034">
      <formula>V66="年"</formula>
    </cfRule>
    <cfRule type="expression" dxfId="3" priority="4035">
      <formula>V66="事"</formula>
    </cfRule>
    <cfRule type="expression" dxfId="2" priority="4036">
      <formula>V66="病"</formula>
    </cfRule>
  </conditionalFormatting>
  <conditionalFormatting sqref="Y66">
    <cfRule type="expression" dxfId="5" priority="2257">
      <formula>Y66="探"</formula>
    </cfRule>
    <cfRule type="expression" dxfId="4" priority="2258">
      <formula>Y66="年"</formula>
    </cfRule>
    <cfRule type="expression" dxfId="3" priority="2259">
      <formula>Y66="事"</formula>
    </cfRule>
    <cfRule type="expression" dxfId="2" priority="2260">
      <formula>Y66="病"</formula>
    </cfRule>
  </conditionalFormatting>
  <conditionalFormatting sqref="Z66">
    <cfRule type="expression" dxfId="5" priority="2253">
      <formula>Z66="探"</formula>
    </cfRule>
    <cfRule type="expression" dxfId="4" priority="2254">
      <formula>Z66="年"</formula>
    </cfRule>
    <cfRule type="expression" dxfId="3" priority="2255">
      <formula>Z66="事"</formula>
    </cfRule>
    <cfRule type="expression" dxfId="2" priority="2256">
      <formula>Z66="病"</formula>
    </cfRule>
  </conditionalFormatting>
  <conditionalFormatting sqref="AA66">
    <cfRule type="expression" dxfId="5" priority="2249">
      <formula>AA66="探"</formula>
    </cfRule>
    <cfRule type="expression" dxfId="4" priority="2250">
      <formula>AA66="年"</formula>
    </cfRule>
    <cfRule type="expression" dxfId="3" priority="2251">
      <formula>AA66="事"</formula>
    </cfRule>
    <cfRule type="expression" dxfId="2" priority="2252">
      <formula>AA66="病"</formula>
    </cfRule>
  </conditionalFormatting>
  <conditionalFormatting sqref="AB66">
    <cfRule type="expression" dxfId="5" priority="2241">
      <formula>AB66="探"</formula>
    </cfRule>
    <cfRule type="expression" dxfId="4" priority="2242">
      <formula>AB66="年"</formula>
    </cfRule>
    <cfRule type="expression" dxfId="3" priority="2243">
      <formula>AB66="事"</formula>
    </cfRule>
    <cfRule type="expression" dxfId="2" priority="2244">
      <formula>AB66="病"</formula>
    </cfRule>
  </conditionalFormatting>
  <conditionalFormatting sqref="AC66">
    <cfRule type="expression" dxfId="5" priority="2245">
      <formula>AC66="探"</formula>
    </cfRule>
    <cfRule type="expression" dxfId="4" priority="2246">
      <formula>AC66="年"</formula>
    </cfRule>
    <cfRule type="expression" dxfId="3" priority="2247">
      <formula>AC66="事"</formula>
    </cfRule>
    <cfRule type="expression" dxfId="2" priority="2248">
      <formula>AC66="病"</formula>
    </cfRule>
  </conditionalFormatting>
  <conditionalFormatting sqref="AD66">
    <cfRule type="expression" dxfId="5" priority="2237">
      <formula>AD66="探"</formula>
    </cfRule>
    <cfRule type="expression" dxfId="4" priority="2238">
      <formula>AD66="年"</formula>
    </cfRule>
    <cfRule type="expression" dxfId="3" priority="2239">
      <formula>AD66="事"</formula>
    </cfRule>
    <cfRule type="expression" dxfId="2" priority="2240">
      <formula>AD66="病"</formula>
    </cfRule>
  </conditionalFormatting>
  <conditionalFormatting sqref="AE66">
    <cfRule type="expression" dxfId="5" priority="2233">
      <formula>AE66="探"</formula>
    </cfRule>
    <cfRule type="expression" dxfId="4" priority="2234">
      <formula>AE66="年"</formula>
    </cfRule>
    <cfRule type="expression" dxfId="3" priority="2235">
      <formula>AE66="事"</formula>
    </cfRule>
    <cfRule type="expression" dxfId="2" priority="2236">
      <formula>AE66="病"</formula>
    </cfRule>
  </conditionalFormatting>
  <conditionalFormatting sqref="AF66">
    <cfRule type="expression" dxfId="5" priority="6825">
      <formula>AF66="探"</formula>
    </cfRule>
    <cfRule type="expression" dxfId="4" priority="6826">
      <formula>AF66="年"</formula>
    </cfRule>
    <cfRule type="expression" dxfId="3" priority="6827">
      <formula>AF66="事"</formula>
    </cfRule>
    <cfRule type="expression" dxfId="2" priority="6828">
      <formula>AF66="病"</formula>
    </cfRule>
  </conditionalFormatting>
  <conditionalFormatting sqref="AG66:AI66">
    <cfRule type="expression" dxfId="5" priority="6829">
      <formula>AG66="探"</formula>
    </cfRule>
    <cfRule type="expression" dxfId="4" priority="6830">
      <formula>AG66="年"</formula>
    </cfRule>
    <cfRule type="expression" dxfId="3" priority="6831">
      <formula>AG66="事"</formula>
    </cfRule>
    <cfRule type="expression" dxfId="2" priority="6832">
      <formula>AG66="病"</formula>
    </cfRule>
  </conditionalFormatting>
  <conditionalFormatting sqref="AJ66">
    <cfRule type="expression" dxfId="5" priority="6821">
      <formula>AJ66="探"</formula>
    </cfRule>
    <cfRule type="expression" dxfId="4" priority="6822">
      <formula>AJ66="年"</formula>
    </cfRule>
    <cfRule type="expression" dxfId="3" priority="6823">
      <formula>AJ66="事"</formula>
    </cfRule>
    <cfRule type="expression" dxfId="2" priority="6824">
      <formula>AJ66="病"</formula>
    </cfRule>
  </conditionalFormatting>
  <conditionalFormatting sqref="AK66">
    <cfRule type="expression" dxfId="5" priority="6817">
      <formula>AK66="探"</formula>
    </cfRule>
    <cfRule type="expression" dxfId="4" priority="6818">
      <formula>AK66="年"</formula>
    </cfRule>
    <cfRule type="expression" dxfId="3" priority="6819">
      <formula>AK66="事"</formula>
    </cfRule>
    <cfRule type="expression" dxfId="2" priority="6820">
      <formula>AK66="病"</formula>
    </cfRule>
  </conditionalFormatting>
  <conditionalFormatting sqref="N67:U67">
    <cfRule type="expression" dxfId="5" priority="5953">
      <formula>N67="探"</formula>
    </cfRule>
    <cfRule type="expression" dxfId="4" priority="5954">
      <formula>N67="年"</formula>
    </cfRule>
    <cfRule type="expression" dxfId="3" priority="5955">
      <formula>N67="事"</formula>
    </cfRule>
    <cfRule type="expression" dxfId="2" priority="5956">
      <formula>N67="病"</formula>
    </cfRule>
  </conditionalFormatting>
  <conditionalFormatting sqref="Y67:Z67">
    <cfRule type="expression" dxfId="5" priority="8161">
      <formula>Y67="探"</formula>
    </cfRule>
    <cfRule type="expression" dxfId="4" priority="8162">
      <formula>Y67="年"</formula>
    </cfRule>
    <cfRule type="expression" dxfId="3" priority="8163">
      <formula>Y67="事"</formula>
    </cfRule>
    <cfRule type="expression" dxfId="2" priority="8164">
      <formula>Y67="病"</formula>
    </cfRule>
  </conditionalFormatting>
  <conditionalFormatting sqref="AA67:AD67">
    <cfRule type="expression" dxfId="5" priority="8157">
      <formula>AA67="探"</formula>
    </cfRule>
    <cfRule type="expression" dxfId="4" priority="8158">
      <formula>AA67="年"</formula>
    </cfRule>
    <cfRule type="expression" dxfId="3" priority="8159">
      <formula>AA67="事"</formula>
    </cfRule>
    <cfRule type="expression" dxfId="2" priority="8160">
      <formula>AA67="病"</formula>
    </cfRule>
  </conditionalFormatting>
  <conditionalFormatting sqref="AE67">
    <cfRule type="expression" dxfId="5" priority="8145">
      <formula>AE67="探"</formula>
    </cfRule>
    <cfRule type="expression" dxfId="4" priority="8146">
      <formula>AE67="年"</formula>
    </cfRule>
    <cfRule type="expression" dxfId="3" priority="8147">
      <formula>AE67="事"</formula>
    </cfRule>
    <cfRule type="expression" dxfId="2" priority="8148">
      <formula>AE67="病"</formula>
    </cfRule>
  </conditionalFormatting>
  <conditionalFormatting sqref="AF67">
    <cfRule type="expression" dxfId="5" priority="6813">
      <formula>AF67="探"</formula>
    </cfRule>
    <cfRule type="expression" dxfId="4" priority="6814">
      <formula>AF67="年"</formula>
    </cfRule>
    <cfRule type="expression" dxfId="3" priority="6815">
      <formula>AF67="事"</formula>
    </cfRule>
    <cfRule type="expression" dxfId="2" priority="6816">
      <formula>AF67="病"</formula>
    </cfRule>
  </conditionalFormatting>
  <conditionalFormatting sqref="AG67:AH67">
    <cfRule type="expression" dxfId="5" priority="6809">
      <formula>AG67="探"</formula>
    </cfRule>
    <cfRule type="expression" dxfId="4" priority="6810">
      <formula>AG67="年"</formula>
    </cfRule>
    <cfRule type="expression" dxfId="3" priority="6811">
      <formula>AG67="事"</formula>
    </cfRule>
    <cfRule type="expression" dxfId="2" priority="6812">
      <formula>AG67="病"</formula>
    </cfRule>
  </conditionalFormatting>
  <conditionalFormatting sqref="AI67:AJ67">
    <cfRule type="expression" dxfId="5" priority="6805">
      <formula>AI67="探"</formula>
    </cfRule>
    <cfRule type="expression" dxfId="4" priority="6806">
      <formula>AI67="年"</formula>
    </cfRule>
    <cfRule type="expression" dxfId="3" priority="6807">
      <formula>AI67="事"</formula>
    </cfRule>
    <cfRule type="expression" dxfId="2" priority="6808">
      <formula>AI67="病"</formula>
    </cfRule>
  </conditionalFormatting>
  <conditionalFormatting sqref="AK67">
    <cfRule type="expression" dxfId="5" priority="6801">
      <formula>AK67="探"</formula>
    </cfRule>
    <cfRule type="expression" dxfId="4" priority="6802">
      <formula>AK67="年"</formula>
    </cfRule>
    <cfRule type="expression" dxfId="3" priority="6803">
      <formula>AK67="事"</formula>
    </cfRule>
    <cfRule type="expression" dxfId="2" priority="6804">
      <formula>AK67="病"</formula>
    </cfRule>
  </conditionalFormatting>
  <conditionalFormatting sqref="K68">
    <cfRule type="expression" dxfId="5" priority="5685">
      <formula>K68="探"</formula>
    </cfRule>
    <cfRule type="expression" dxfId="4" priority="5686">
      <formula>K68="年"</formula>
    </cfRule>
    <cfRule type="expression" dxfId="3" priority="5687">
      <formula>K68="事"</formula>
    </cfRule>
    <cfRule type="expression" dxfId="2" priority="5688">
      <formula>K68="病"</formula>
    </cfRule>
  </conditionalFormatting>
  <conditionalFormatting sqref="L68">
    <cfRule type="expression" dxfId="5" priority="5681">
      <formula>L68="探"</formula>
    </cfRule>
    <cfRule type="expression" dxfId="4" priority="5682">
      <formula>L68="年"</formula>
    </cfRule>
    <cfRule type="expression" dxfId="3" priority="5683">
      <formula>L68="事"</formula>
    </cfRule>
    <cfRule type="expression" dxfId="2" priority="5684">
      <formula>L68="病"</formula>
    </cfRule>
  </conditionalFormatting>
  <conditionalFormatting sqref="M68:N68">
    <cfRule type="expression" dxfId="5" priority="5677">
      <formula>M68="探"</formula>
    </cfRule>
    <cfRule type="expression" dxfId="4" priority="5678">
      <formula>M68="年"</formula>
    </cfRule>
    <cfRule type="expression" dxfId="3" priority="5679">
      <formula>M68="事"</formula>
    </cfRule>
    <cfRule type="expression" dxfId="2" priority="5680">
      <formula>M68="病"</formula>
    </cfRule>
  </conditionalFormatting>
  <conditionalFormatting sqref="O68">
    <cfRule type="expression" dxfId="5" priority="4725">
      <formula>O68="探"</formula>
    </cfRule>
    <cfRule type="expression" dxfId="4" priority="4726">
      <formula>O68="年"</formula>
    </cfRule>
    <cfRule type="expression" dxfId="3" priority="4727">
      <formula>O68="事"</formula>
    </cfRule>
    <cfRule type="expression" dxfId="2" priority="4728">
      <formula>O68="病"</formula>
    </cfRule>
  </conditionalFormatting>
  <conditionalFormatting sqref="P68">
    <cfRule type="expression" dxfId="5" priority="4717">
      <formula>P68="探"</formula>
    </cfRule>
    <cfRule type="expression" dxfId="4" priority="4718">
      <formula>P68="年"</formula>
    </cfRule>
    <cfRule type="expression" dxfId="3" priority="4719">
      <formula>P68="事"</formula>
    </cfRule>
    <cfRule type="expression" dxfId="2" priority="4720">
      <formula>P68="病"</formula>
    </cfRule>
  </conditionalFormatting>
  <conditionalFormatting sqref="Q68">
    <cfRule type="expression" dxfId="5" priority="4721">
      <formula>Q68="探"</formula>
    </cfRule>
    <cfRule type="expression" dxfId="4" priority="4722">
      <formula>Q68="年"</formula>
    </cfRule>
    <cfRule type="expression" dxfId="3" priority="4723">
      <formula>Q68="事"</formula>
    </cfRule>
    <cfRule type="expression" dxfId="2" priority="4724">
      <formula>Q68="病"</formula>
    </cfRule>
  </conditionalFormatting>
  <conditionalFormatting sqref="R68">
    <cfRule type="expression" dxfId="5" priority="4713">
      <formula>R68="探"</formula>
    </cfRule>
    <cfRule type="expression" dxfId="4" priority="4714">
      <formula>R68="年"</formula>
    </cfRule>
    <cfRule type="expression" dxfId="3" priority="4715">
      <formula>R68="事"</formula>
    </cfRule>
    <cfRule type="expression" dxfId="2" priority="4716">
      <formula>R68="病"</formula>
    </cfRule>
  </conditionalFormatting>
  <conditionalFormatting sqref="S68:T68">
    <cfRule type="expression" dxfId="5" priority="4705">
      <formula>S68="探"</formula>
    </cfRule>
    <cfRule type="expression" dxfId="4" priority="4706">
      <formula>S68="年"</formula>
    </cfRule>
    <cfRule type="expression" dxfId="3" priority="4707">
      <formula>S68="事"</formula>
    </cfRule>
    <cfRule type="expression" dxfId="2" priority="4708">
      <formula>S68="病"</formula>
    </cfRule>
  </conditionalFormatting>
  <conditionalFormatting sqref="U68">
    <cfRule type="expression" dxfId="5" priority="4709">
      <formula>U68="探"</formula>
    </cfRule>
    <cfRule type="expression" dxfId="4" priority="4710">
      <formula>U68="年"</formula>
    </cfRule>
    <cfRule type="expression" dxfId="3" priority="4711">
      <formula>U68="事"</formula>
    </cfRule>
    <cfRule type="expression" dxfId="2" priority="4712">
      <formula>U68="病"</formula>
    </cfRule>
  </conditionalFormatting>
  <conditionalFormatting sqref="Y68:Z68">
    <cfRule type="expression" dxfId="2" priority="1832">
      <formula>Y68="病"</formula>
    </cfRule>
    <cfRule type="expression" dxfId="3" priority="1831">
      <formula>Y68="事"</formula>
    </cfRule>
    <cfRule type="expression" dxfId="4" priority="1830">
      <formula>Y68="年"</formula>
    </cfRule>
    <cfRule type="expression" dxfId="5" priority="1829">
      <formula>Y68="探"</formula>
    </cfRule>
  </conditionalFormatting>
  <conditionalFormatting sqref="AA68">
    <cfRule type="expression" dxfId="2" priority="1828">
      <formula>AA68="病"</formula>
    </cfRule>
    <cfRule type="expression" dxfId="3" priority="1827">
      <formula>AA68="事"</formula>
    </cfRule>
    <cfRule type="expression" dxfId="4" priority="1826">
      <formula>AA68="年"</formula>
    </cfRule>
    <cfRule type="expression" dxfId="5" priority="1825">
      <formula>AA68="探"</formula>
    </cfRule>
  </conditionalFormatting>
  <conditionalFormatting sqref="AB68">
    <cfRule type="expression" dxfId="2" priority="1820">
      <formula>AB68="病"</formula>
    </cfRule>
    <cfRule type="expression" dxfId="3" priority="1819">
      <formula>AB68="事"</formula>
    </cfRule>
    <cfRule type="expression" dxfId="4" priority="1818">
      <formula>AB68="年"</formula>
    </cfRule>
    <cfRule type="expression" dxfId="5" priority="1817">
      <formula>AB68="探"</formula>
    </cfRule>
  </conditionalFormatting>
  <conditionalFormatting sqref="AC68">
    <cfRule type="expression" dxfId="2" priority="1824">
      <formula>AC68="病"</formula>
    </cfRule>
    <cfRule type="expression" dxfId="3" priority="1823">
      <formula>AC68="事"</formula>
    </cfRule>
    <cfRule type="expression" dxfId="4" priority="1822">
      <formula>AC68="年"</formula>
    </cfRule>
    <cfRule type="expression" dxfId="5" priority="1821">
      <formula>AC68="探"</formula>
    </cfRule>
  </conditionalFormatting>
  <conditionalFormatting sqref="AD68">
    <cfRule type="expression" dxfId="2" priority="1816">
      <formula>AD68="病"</formula>
    </cfRule>
    <cfRule type="expression" dxfId="3" priority="1815">
      <formula>AD68="事"</formula>
    </cfRule>
    <cfRule type="expression" dxfId="4" priority="1814">
      <formula>AD68="年"</formula>
    </cfRule>
    <cfRule type="expression" dxfId="5" priority="1813">
      <formula>AD68="探"</formula>
    </cfRule>
  </conditionalFormatting>
  <conditionalFormatting sqref="AE68">
    <cfRule type="expression" dxfId="2" priority="1812">
      <formula>AE68="病"</formula>
    </cfRule>
    <cfRule type="expression" dxfId="3" priority="1811">
      <formula>AE68="事"</formula>
    </cfRule>
    <cfRule type="expression" dxfId="4" priority="1810">
      <formula>AE68="年"</formula>
    </cfRule>
    <cfRule type="expression" dxfId="5" priority="1809">
      <formula>AE68="探"</formula>
    </cfRule>
  </conditionalFormatting>
  <conditionalFormatting sqref="AF68">
    <cfRule type="expression" dxfId="2" priority="640">
      <formula>AF68="病"</formula>
    </cfRule>
    <cfRule type="expression" dxfId="3" priority="639">
      <formula>AF68="事"</formula>
    </cfRule>
    <cfRule type="expression" dxfId="4" priority="638">
      <formula>AF68="年"</formula>
    </cfRule>
    <cfRule type="expression" dxfId="5" priority="637">
      <formula>AF68="探"</formula>
    </cfRule>
  </conditionalFormatting>
  <conditionalFormatting sqref="AG68:AH68">
    <cfRule type="expression" dxfId="2" priority="636">
      <formula>AG68="病"</formula>
    </cfRule>
    <cfRule type="expression" dxfId="3" priority="635">
      <formula>AG68="事"</formula>
    </cfRule>
    <cfRule type="expression" dxfId="4" priority="634">
      <formula>AG68="年"</formula>
    </cfRule>
    <cfRule type="expression" dxfId="5" priority="633">
      <formula>AG68="探"</formula>
    </cfRule>
  </conditionalFormatting>
  <conditionalFormatting sqref="AI68">
    <cfRule type="expression" dxfId="2" priority="632">
      <formula>AI68="病"</formula>
    </cfRule>
    <cfRule type="expression" dxfId="3" priority="631">
      <formula>AI68="事"</formula>
    </cfRule>
    <cfRule type="expression" dxfId="4" priority="630">
      <formula>AI68="年"</formula>
    </cfRule>
    <cfRule type="expression" dxfId="5" priority="629">
      <formula>AI68="探"</formula>
    </cfRule>
  </conditionalFormatting>
  <conditionalFormatting sqref="AJ68">
    <cfRule type="expression" dxfId="2" priority="624">
      <formula>AJ68="病"</formula>
    </cfRule>
    <cfRule type="expression" dxfId="3" priority="623">
      <formula>AJ68="事"</formula>
    </cfRule>
    <cfRule type="expression" dxfId="4" priority="622">
      <formula>AJ68="年"</formula>
    </cfRule>
    <cfRule type="expression" dxfId="5" priority="621">
      <formula>AJ68="探"</formula>
    </cfRule>
  </conditionalFormatting>
  <conditionalFormatting sqref="AK68">
    <cfRule type="expression" dxfId="2" priority="628">
      <formula>AK68="病"</formula>
    </cfRule>
    <cfRule type="expression" dxfId="3" priority="627">
      <formula>AK68="事"</formula>
    </cfRule>
    <cfRule type="expression" dxfId="4" priority="626">
      <formula>AK68="年"</formula>
    </cfRule>
    <cfRule type="expression" dxfId="5" priority="625">
      <formula>AK68="探"</formula>
    </cfRule>
  </conditionalFormatting>
  <conditionalFormatting sqref="L69">
    <cfRule type="expression" dxfId="5" priority="5673">
      <formula>L69="探"</formula>
    </cfRule>
    <cfRule type="expression" dxfId="4" priority="5674">
      <formula>L69="年"</formula>
    </cfRule>
    <cfRule type="expression" dxfId="3" priority="5675">
      <formula>L69="事"</formula>
    </cfRule>
    <cfRule type="expression" dxfId="2" priority="5676">
      <formula>L69="病"</formula>
    </cfRule>
  </conditionalFormatting>
  <conditionalFormatting sqref="M69:N69">
    <cfRule type="expression" dxfId="5" priority="5669">
      <formula>M69="探"</formula>
    </cfRule>
    <cfRule type="expression" dxfId="4" priority="5670">
      <formula>M69="年"</formula>
    </cfRule>
    <cfRule type="expression" dxfId="3" priority="5671">
      <formula>M69="事"</formula>
    </cfRule>
    <cfRule type="expression" dxfId="2" priority="5672">
      <formula>M69="病"</formula>
    </cfRule>
  </conditionalFormatting>
  <conditionalFormatting sqref="O69">
    <cfRule type="expression" dxfId="5" priority="8657">
      <formula>O69="探"</formula>
    </cfRule>
    <cfRule type="expression" dxfId="4" priority="8658">
      <formula>O69="年"</formula>
    </cfRule>
    <cfRule type="expression" dxfId="3" priority="8659">
      <formula>O69="事"</formula>
    </cfRule>
    <cfRule type="expression" dxfId="2" priority="8660">
      <formula>O69="病"</formula>
    </cfRule>
  </conditionalFormatting>
  <conditionalFormatting sqref="P69:Q69">
    <cfRule type="expression" dxfId="5" priority="8653">
      <formula>P69="探"</formula>
    </cfRule>
    <cfRule type="expression" dxfId="4" priority="8654">
      <formula>P69="年"</formula>
    </cfRule>
    <cfRule type="expression" dxfId="3" priority="8655">
      <formula>P69="事"</formula>
    </cfRule>
    <cfRule type="expression" dxfId="2" priority="8656">
      <formula>P69="病"</formula>
    </cfRule>
  </conditionalFormatting>
  <conditionalFormatting sqref="R69">
    <cfRule type="expression" dxfId="5" priority="8649">
      <formula>R69="探"</formula>
    </cfRule>
    <cfRule type="expression" dxfId="4" priority="8650">
      <formula>R69="年"</formula>
    </cfRule>
    <cfRule type="expression" dxfId="3" priority="8651">
      <formula>R69="事"</formula>
    </cfRule>
    <cfRule type="expression" dxfId="2" priority="8652">
      <formula>R69="病"</formula>
    </cfRule>
  </conditionalFormatting>
  <conditionalFormatting sqref="S69">
    <cfRule type="expression" dxfId="5" priority="8661">
      <formula>S69="探"</formula>
    </cfRule>
    <cfRule type="expression" dxfId="4" priority="8662">
      <formula>S69="年"</formula>
    </cfRule>
    <cfRule type="expression" dxfId="3" priority="8663">
      <formula>S69="事"</formula>
    </cfRule>
    <cfRule type="expression" dxfId="2" priority="8664">
      <formula>S69="病"</formula>
    </cfRule>
  </conditionalFormatting>
  <conditionalFormatting sqref="T69">
    <cfRule type="expression" dxfId="5" priority="8645">
      <formula>T69="探"</formula>
    </cfRule>
    <cfRule type="expression" dxfId="4" priority="8646">
      <formula>T69="年"</formula>
    </cfRule>
    <cfRule type="expression" dxfId="3" priority="8647">
      <formula>T69="事"</formula>
    </cfRule>
    <cfRule type="expression" dxfId="2" priority="8648">
      <formula>T69="病"</formula>
    </cfRule>
  </conditionalFormatting>
  <conditionalFormatting sqref="U69:V69">
    <cfRule type="expression" dxfId="5" priority="4013">
      <formula>U69="探"</formula>
    </cfRule>
    <cfRule type="expression" dxfId="4" priority="4014">
      <formula>U69="年"</formula>
    </cfRule>
    <cfRule type="expression" dxfId="3" priority="4015">
      <formula>U69="事"</formula>
    </cfRule>
    <cfRule type="expression" dxfId="2" priority="4016">
      <formula>U69="病"</formula>
    </cfRule>
  </conditionalFormatting>
  <conditionalFormatting sqref="W69">
    <cfRule type="expression" dxfId="5" priority="4021">
      <formula>W69="探"</formula>
    </cfRule>
    <cfRule type="expression" dxfId="4" priority="4022">
      <formula>W69="年"</formula>
    </cfRule>
    <cfRule type="expression" dxfId="3" priority="4023">
      <formula>W69="事"</formula>
    </cfRule>
    <cfRule type="expression" dxfId="2" priority="4024">
      <formula>W69="病"</formula>
    </cfRule>
  </conditionalFormatting>
  <conditionalFormatting sqref="X69">
    <cfRule type="expression" dxfId="5" priority="4017">
      <formula>X69="探"</formula>
    </cfRule>
    <cfRule type="expression" dxfId="4" priority="4018">
      <formula>X69="年"</formula>
    </cfRule>
    <cfRule type="expression" dxfId="3" priority="4019">
      <formula>X69="事"</formula>
    </cfRule>
    <cfRule type="expression" dxfId="2" priority="4020">
      <formula>X69="病"</formula>
    </cfRule>
  </conditionalFormatting>
  <conditionalFormatting sqref="Y69:Z69">
    <cfRule type="expression" dxfId="2" priority="1792">
      <formula>Y69="病"</formula>
    </cfRule>
    <cfRule type="expression" dxfId="3" priority="1791">
      <formula>Y69="事"</formula>
    </cfRule>
    <cfRule type="expression" dxfId="4" priority="1790">
      <formula>Y69="年"</formula>
    </cfRule>
    <cfRule type="expression" dxfId="5" priority="1789">
      <formula>Y69="探"</formula>
    </cfRule>
  </conditionalFormatting>
  <conditionalFormatting sqref="AA69">
    <cfRule type="expression" dxfId="2" priority="1804">
      <formula>AA69="病"</formula>
    </cfRule>
    <cfRule type="expression" dxfId="3" priority="1803">
      <formula>AA69="事"</formula>
    </cfRule>
    <cfRule type="expression" dxfId="4" priority="1802">
      <formula>AA69="年"</formula>
    </cfRule>
    <cfRule type="expression" dxfId="5" priority="1801">
      <formula>AA69="探"</formula>
    </cfRule>
  </conditionalFormatting>
  <conditionalFormatting sqref="AB69:AC69">
    <cfRule type="expression" dxfId="2" priority="1800">
      <formula>AB69="病"</formula>
    </cfRule>
    <cfRule type="expression" dxfId="3" priority="1799">
      <formula>AB69="事"</formula>
    </cfRule>
    <cfRule type="expression" dxfId="4" priority="1798">
      <formula>AB69="年"</formula>
    </cfRule>
    <cfRule type="expression" dxfId="5" priority="1797">
      <formula>AB69="探"</formula>
    </cfRule>
  </conditionalFormatting>
  <conditionalFormatting sqref="AD69">
    <cfRule type="expression" dxfId="2" priority="1796">
      <formula>AD69="病"</formula>
    </cfRule>
    <cfRule type="expression" dxfId="3" priority="1795">
      <formula>AD69="事"</formula>
    </cfRule>
    <cfRule type="expression" dxfId="4" priority="1794">
      <formula>AD69="年"</formula>
    </cfRule>
    <cfRule type="expression" dxfId="5" priority="1793">
      <formula>AD69="探"</formula>
    </cfRule>
  </conditionalFormatting>
  <conditionalFormatting sqref="AE69">
    <cfRule type="expression" dxfId="2" priority="1808">
      <formula>AE69="病"</formula>
    </cfRule>
    <cfRule type="expression" dxfId="3" priority="1807">
      <formula>AE69="事"</formula>
    </cfRule>
    <cfRule type="expression" dxfId="4" priority="1806">
      <formula>AE69="年"</formula>
    </cfRule>
    <cfRule type="expression" dxfId="5" priority="1805">
      <formula>AE69="探"</formula>
    </cfRule>
  </conditionalFormatting>
  <conditionalFormatting sqref="AF69">
    <cfRule type="expression" dxfId="2" priority="616">
      <formula>AF69="病"</formula>
    </cfRule>
    <cfRule type="expression" dxfId="3" priority="615">
      <formula>AF69="事"</formula>
    </cfRule>
    <cfRule type="expression" dxfId="4" priority="614">
      <formula>AF69="年"</formula>
    </cfRule>
    <cfRule type="expression" dxfId="5" priority="613">
      <formula>AF69="探"</formula>
    </cfRule>
  </conditionalFormatting>
  <conditionalFormatting sqref="AG69:AH69">
    <cfRule type="expression" dxfId="2" priority="604">
      <formula>AG69="病"</formula>
    </cfRule>
    <cfRule type="expression" dxfId="3" priority="603">
      <formula>AG69="事"</formula>
    </cfRule>
    <cfRule type="expression" dxfId="4" priority="602">
      <formula>AG69="年"</formula>
    </cfRule>
    <cfRule type="expression" dxfId="5" priority="601">
      <formula>AG69="探"</formula>
    </cfRule>
  </conditionalFormatting>
  <conditionalFormatting sqref="AI69">
    <cfRule type="expression" dxfId="2" priority="612">
      <formula>AI69="病"</formula>
    </cfRule>
    <cfRule type="expression" dxfId="3" priority="611">
      <formula>AI69="事"</formula>
    </cfRule>
    <cfRule type="expression" dxfId="4" priority="610">
      <formula>AI69="年"</formula>
    </cfRule>
    <cfRule type="expression" dxfId="5" priority="609">
      <formula>AI69="探"</formula>
    </cfRule>
  </conditionalFormatting>
  <conditionalFormatting sqref="AJ69">
    <cfRule type="expression" dxfId="2" priority="608">
      <formula>AJ69="病"</formula>
    </cfRule>
    <cfRule type="expression" dxfId="3" priority="607">
      <formula>AJ69="事"</formula>
    </cfRule>
    <cfRule type="expression" dxfId="4" priority="606">
      <formula>AJ69="年"</formula>
    </cfRule>
    <cfRule type="expression" dxfId="5" priority="605">
      <formula>AJ69="探"</formula>
    </cfRule>
  </conditionalFormatting>
  <conditionalFormatting sqref="AK69">
    <cfRule type="expression" dxfId="2" priority="600">
      <formula>AK69="病"</formula>
    </cfRule>
    <cfRule type="expression" dxfId="3" priority="599">
      <formula>AK69="事"</formula>
    </cfRule>
    <cfRule type="expression" dxfId="4" priority="598">
      <formula>AK69="年"</formula>
    </cfRule>
    <cfRule type="expression" dxfId="5" priority="597">
      <formula>AK69="探"</formula>
    </cfRule>
  </conditionalFormatting>
  <conditionalFormatting sqref="T70">
    <cfRule type="expression" dxfId="5" priority="8641">
      <formula>T70="探"</formula>
    </cfRule>
    <cfRule type="expression" dxfId="4" priority="8642">
      <formula>T70="年"</formula>
    </cfRule>
    <cfRule type="expression" dxfId="3" priority="8643">
      <formula>T70="事"</formula>
    </cfRule>
    <cfRule type="expression" dxfId="2" priority="8644">
      <formula>T70="病"</formula>
    </cfRule>
  </conditionalFormatting>
  <conditionalFormatting sqref="W70">
    <cfRule type="expression" dxfId="5" priority="4005">
      <formula>W70="探"</formula>
    </cfRule>
    <cfRule type="expression" dxfId="4" priority="4006">
      <formula>W70="年"</formula>
    </cfRule>
    <cfRule type="expression" dxfId="3" priority="4007">
      <formula>W70="事"</formula>
    </cfRule>
    <cfRule type="expression" dxfId="2" priority="4008">
      <formula>W70="病"</formula>
    </cfRule>
  </conditionalFormatting>
  <conditionalFormatting sqref="X70">
    <cfRule type="expression" dxfId="5" priority="4009">
      <formula>X70="探"</formula>
    </cfRule>
    <cfRule type="expression" dxfId="4" priority="4010">
      <formula>X70="年"</formula>
    </cfRule>
    <cfRule type="expression" dxfId="3" priority="4011">
      <formula>X70="事"</formula>
    </cfRule>
    <cfRule type="expression" dxfId="2" priority="4012">
      <formula>X70="病"</formula>
    </cfRule>
  </conditionalFormatting>
  <conditionalFormatting sqref="Y70:AE70">
    <cfRule type="expression" dxfId="2" priority="1788">
      <formula>Y70="病"</formula>
    </cfRule>
    <cfRule type="expression" dxfId="3" priority="1787">
      <formula>Y70="事"</formula>
    </cfRule>
    <cfRule type="expression" dxfId="4" priority="1786">
      <formula>Y70="年"</formula>
    </cfRule>
    <cfRule type="expression" dxfId="5" priority="1785">
      <formula>Y70="探"</formula>
    </cfRule>
  </conditionalFormatting>
  <conditionalFormatting sqref="AF70">
    <cfRule type="expression" dxfId="2" priority="596">
      <formula>AF70="病"</formula>
    </cfRule>
    <cfRule type="expression" dxfId="3" priority="595">
      <formula>AF70="事"</formula>
    </cfRule>
    <cfRule type="expression" dxfId="4" priority="594">
      <formula>AF70="年"</formula>
    </cfRule>
    <cfRule type="expression" dxfId="5" priority="593">
      <formula>AF70="探"</formula>
    </cfRule>
  </conditionalFormatting>
  <conditionalFormatting sqref="AG70:AK70">
    <cfRule type="expression" dxfId="2" priority="592">
      <formula>AG70="病"</formula>
    </cfRule>
    <cfRule type="expression" dxfId="3" priority="591">
      <formula>AG70="事"</formula>
    </cfRule>
    <cfRule type="expression" dxfId="4" priority="590">
      <formula>AG70="年"</formula>
    </cfRule>
    <cfRule type="expression" dxfId="5" priority="589">
      <formula>AG70="探"</formula>
    </cfRule>
  </conditionalFormatting>
  <conditionalFormatting sqref="L71:O71">
    <cfRule type="expression" dxfId="5" priority="5665">
      <formula>L71="探"</formula>
    </cfRule>
    <cfRule type="expression" dxfId="4" priority="5666">
      <formula>L71="年"</formula>
    </cfRule>
    <cfRule type="expression" dxfId="3" priority="5667">
      <formula>L71="事"</formula>
    </cfRule>
    <cfRule type="expression" dxfId="2" priority="5668">
      <formula>L71="病"</formula>
    </cfRule>
  </conditionalFormatting>
  <conditionalFormatting sqref="P71:S71">
    <cfRule type="expression" dxfId="5" priority="4701">
      <formula>P71="探"</formula>
    </cfRule>
    <cfRule type="expression" dxfId="4" priority="4702">
      <formula>P71="年"</formula>
    </cfRule>
    <cfRule type="expression" dxfId="3" priority="4703">
      <formula>P71="事"</formula>
    </cfRule>
    <cfRule type="expression" dxfId="2" priority="4704">
      <formula>P71="病"</formula>
    </cfRule>
  </conditionalFormatting>
  <conditionalFormatting sqref="Y71">
    <cfRule type="expression" dxfId="2" priority="1776">
      <formula>Y71="病"</formula>
    </cfRule>
    <cfRule type="expression" dxfId="3" priority="1775">
      <formula>Y71="事"</formula>
    </cfRule>
    <cfRule type="expression" dxfId="4" priority="1774">
      <formula>Y71="年"</formula>
    </cfRule>
    <cfRule type="expression" dxfId="5" priority="1773">
      <formula>Y71="探"</formula>
    </cfRule>
  </conditionalFormatting>
  <conditionalFormatting sqref="Z71">
    <cfRule type="expression" dxfId="2" priority="1784">
      <formula>Z71="病"</formula>
    </cfRule>
    <cfRule type="expression" dxfId="3" priority="1783">
      <formula>Z71="事"</formula>
    </cfRule>
    <cfRule type="expression" dxfId="4" priority="1782">
      <formula>Z71="年"</formula>
    </cfRule>
    <cfRule type="expression" dxfId="5" priority="1781">
      <formula>Z71="探"</formula>
    </cfRule>
  </conditionalFormatting>
  <conditionalFormatting sqref="AA71">
    <cfRule type="expression" dxfId="2" priority="1780">
      <formula>AA71="病"</formula>
    </cfRule>
    <cfRule type="expression" dxfId="3" priority="1779">
      <formula>AA71="事"</formula>
    </cfRule>
    <cfRule type="expression" dxfId="4" priority="1778">
      <formula>AA71="年"</formula>
    </cfRule>
    <cfRule type="expression" dxfId="5" priority="1777">
      <formula>AA71="探"</formula>
    </cfRule>
  </conditionalFormatting>
  <conditionalFormatting sqref="AB71:AC71">
    <cfRule type="expression" dxfId="2" priority="1764">
      <formula>AB71="病"</formula>
    </cfRule>
    <cfRule type="expression" dxfId="3" priority="1763">
      <formula>AB71="事"</formula>
    </cfRule>
    <cfRule type="expression" dxfId="4" priority="1762">
      <formula>AB71="年"</formula>
    </cfRule>
    <cfRule type="expression" dxfId="5" priority="1761">
      <formula>AB71="探"</formula>
    </cfRule>
  </conditionalFormatting>
  <conditionalFormatting sqref="AD71">
    <cfRule type="expression" dxfId="2" priority="1772">
      <formula>AD71="病"</formula>
    </cfRule>
    <cfRule type="expression" dxfId="3" priority="1771">
      <formula>AD71="事"</formula>
    </cfRule>
    <cfRule type="expression" dxfId="4" priority="1770">
      <formula>AD71="年"</formula>
    </cfRule>
    <cfRule type="expression" dxfId="5" priority="1769">
      <formula>AD71="探"</formula>
    </cfRule>
  </conditionalFormatting>
  <conditionalFormatting sqref="AE71">
    <cfRule type="expression" dxfId="2" priority="1768">
      <formula>AE71="病"</formula>
    </cfRule>
    <cfRule type="expression" dxfId="3" priority="1767">
      <formula>AE71="事"</formula>
    </cfRule>
    <cfRule type="expression" dxfId="4" priority="1766">
      <formula>AE71="年"</formula>
    </cfRule>
    <cfRule type="expression" dxfId="5" priority="1765">
      <formula>AE71="探"</formula>
    </cfRule>
  </conditionalFormatting>
  <conditionalFormatting sqref="AF71:AJ71">
    <cfRule type="expression" dxfId="2" priority="588">
      <formula>AF71="病"</formula>
    </cfRule>
    <cfRule type="expression" dxfId="3" priority="587">
      <formula>AF71="事"</formula>
    </cfRule>
    <cfRule type="expression" dxfId="4" priority="586">
      <formula>AF71="年"</formula>
    </cfRule>
    <cfRule type="expression" dxfId="5" priority="585">
      <formula>AF71="探"</formula>
    </cfRule>
  </conditionalFormatting>
  <conditionalFormatting sqref="AK71">
    <cfRule type="expression" dxfId="2" priority="580">
      <formula>AK71="病"</formula>
    </cfRule>
    <cfRule type="expression" dxfId="3" priority="579">
      <formula>AK71="事"</formula>
    </cfRule>
    <cfRule type="expression" dxfId="4" priority="578">
      <formula>AK71="年"</formula>
    </cfRule>
    <cfRule type="expression" dxfId="5" priority="577">
      <formula>AK71="探"</formula>
    </cfRule>
  </conditionalFormatting>
  <conditionalFormatting sqref="K72">
    <cfRule type="expression" dxfId="5" priority="5661">
      <formula>K72="探"</formula>
    </cfRule>
    <cfRule type="expression" dxfId="4" priority="5662">
      <formula>K72="年"</formula>
    </cfRule>
    <cfRule type="expression" dxfId="3" priority="5663">
      <formula>K72="事"</formula>
    </cfRule>
    <cfRule type="expression" dxfId="2" priority="5664">
      <formula>K72="病"</formula>
    </cfRule>
  </conditionalFormatting>
  <conditionalFormatting sqref="L72:M72">
    <cfRule type="expression" dxfId="5" priority="5657">
      <formula>L72="探"</formula>
    </cfRule>
    <cfRule type="expression" dxfId="4" priority="5658">
      <formula>L72="年"</formula>
    </cfRule>
    <cfRule type="expression" dxfId="3" priority="5659">
      <formula>L72="事"</formula>
    </cfRule>
    <cfRule type="expression" dxfId="2" priority="5660">
      <formula>L72="病"</formula>
    </cfRule>
  </conditionalFormatting>
  <conditionalFormatting sqref="N72">
    <cfRule type="expression" dxfId="5" priority="5653">
      <formula>N72="探"</formula>
    </cfRule>
    <cfRule type="expression" dxfId="4" priority="5654">
      <formula>N72="年"</formula>
    </cfRule>
    <cfRule type="expression" dxfId="3" priority="5655">
      <formula>N72="事"</formula>
    </cfRule>
    <cfRule type="expression" dxfId="2" priority="5656">
      <formula>N72="病"</formula>
    </cfRule>
  </conditionalFormatting>
  <conditionalFormatting sqref="O72:P72">
    <cfRule type="expression" dxfId="5" priority="5649">
      <formula>O72="探"</formula>
    </cfRule>
    <cfRule type="expression" dxfId="4" priority="5650">
      <formula>O72="年"</formula>
    </cfRule>
    <cfRule type="expression" dxfId="3" priority="5651">
      <formula>O72="事"</formula>
    </cfRule>
    <cfRule type="expression" dxfId="2" priority="5652">
      <formula>O72="病"</formula>
    </cfRule>
  </conditionalFormatting>
  <conditionalFormatting sqref="Q72">
    <cfRule type="expression" dxfId="5" priority="4697">
      <formula>Q72="探"</formula>
    </cfRule>
    <cfRule type="expression" dxfId="4" priority="4698">
      <formula>Q72="年"</formula>
    </cfRule>
    <cfRule type="expression" dxfId="3" priority="4699">
      <formula>Q72="事"</formula>
    </cfRule>
    <cfRule type="expression" dxfId="2" priority="4700">
      <formula>Q72="病"</formula>
    </cfRule>
  </conditionalFormatting>
  <conditionalFormatting sqref="R72:S72">
    <cfRule type="expression" dxfId="5" priority="4693">
      <formula>R72="探"</formula>
    </cfRule>
    <cfRule type="expression" dxfId="4" priority="4694">
      <formula>R72="年"</formula>
    </cfRule>
    <cfRule type="expression" dxfId="3" priority="4695">
      <formula>R72="事"</formula>
    </cfRule>
    <cfRule type="expression" dxfId="2" priority="4696">
      <formula>R72="病"</formula>
    </cfRule>
  </conditionalFormatting>
  <conditionalFormatting sqref="T72">
    <cfRule type="expression" dxfId="5" priority="8637">
      <formula>T72="探"</formula>
    </cfRule>
    <cfRule type="expression" dxfId="4" priority="8638">
      <formula>T72="年"</formula>
    </cfRule>
    <cfRule type="expression" dxfId="3" priority="8639">
      <formula>T72="事"</formula>
    </cfRule>
    <cfRule type="expression" dxfId="2" priority="8640">
      <formula>T72="病"</formula>
    </cfRule>
  </conditionalFormatting>
  <conditionalFormatting sqref="U72">
    <cfRule type="expression" dxfId="5" priority="4001">
      <formula>U72="探"</formula>
    </cfRule>
    <cfRule type="expression" dxfId="4" priority="4002">
      <formula>U72="年"</formula>
    </cfRule>
    <cfRule type="expression" dxfId="3" priority="4003">
      <formula>U72="事"</formula>
    </cfRule>
    <cfRule type="expression" dxfId="2" priority="4004">
      <formula>U72="病"</formula>
    </cfRule>
  </conditionalFormatting>
  <conditionalFormatting sqref="W72">
    <cfRule type="expression" dxfId="5" priority="3997">
      <formula>W72="探"</formula>
    </cfRule>
    <cfRule type="expression" dxfId="4" priority="3998">
      <formula>W72="年"</formula>
    </cfRule>
    <cfRule type="expression" dxfId="3" priority="3999">
      <formula>W72="事"</formula>
    </cfRule>
    <cfRule type="expression" dxfId="2" priority="4000">
      <formula>W72="病"</formula>
    </cfRule>
  </conditionalFormatting>
  <conditionalFormatting sqref="X72">
    <cfRule type="expression" dxfId="5" priority="3993">
      <formula>X72="探"</formula>
    </cfRule>
    <cfRule type="expression" dxfId="4" priority="3994">
      <formula>X72="年"</formula>
    </cfRule>
    <cfRule type="expression" dxfId="3" priority="3995">
      <formula>X72="事"</formula>
    </cfRule>
    <cfRule type="expression" dxfId="2" priority="3996">
      <formula>X72="病"</formula>
    </cfRule>
  </conditionalFormatting>
  <conditionalFormatting sqref="Y72">
    <cfRule type="expression" dxfId="2" priority="1760">
      <formula>Y72="病"</formula>
    </cfRule>
    <cfRule type="expression" dxfId="3" priority="1759">
      <formula>Y72="事"</formula>
    </cfRule>
    <cfRule type="expression" dxfId="4" priority="1758">
      <formula>Y72="年"</formula>
    </cfRule>
    <cfRule type="expression" dxfId="5" priority="1757">
      <formula>Y72="探"</formula>
    </cfRule>
  </conditionalFormatting>
  <conditionalFormatting sqref="Z72:AA72">
    <cfRule type="expression" dxfId="2" priority="1740">
      <formula>Z72="病"</formula>
    </cfRule>
    <cfRule type="expression" dxfId="3" priority="1739">
      <formula>Z72="事"</formula>
    </cfRule>
    <cfRule type="expression" dxfId="4" priority="1738">
      <formula>Z72="年"</formula>
    </cfRule>
    <cfRule type="expression" dxfId="5" priority="1737">
      <formula>Z72="探"</formula>
    </cfRule>
  </conditionalFormatting>
  <conditionalFormatting sqref="AB72">
    <cfRule type="expression" dxfId="2" priority="1752">
      <formula>AB72="病"</formula>
    </cfRule>
    <cfRule type="expression" dxfId="3" priority="1751">
      <formula>AB72="事"</formula>
    </cfRule>
    <cfRule type="expression" dxfId="4" priority="1750">
      <formula>AB72="年"</formula>
    </cfRule>
    <cfRule type="expression" dxfId="5" priority="1749">
      <formula>AB72="探"</formula>
    </cfRule>
  </conditionalFormatting>
  <conditionalFormatting sqref="AC72:AD72">
    <cfRule type="expression" dxfId="2" priority="1748">
      <formula>AC72="病"</formula>
    </cfRule>
    <cfRule type="expression" dxfId="3" priority="1747">
      <formula>AC72="事"</formula>
    </cfRule>
    <cfRule type="expression" dxfId="4" priority="1746">
      <formula>AC72="年"</formula>
    </cfRule>
    <cfRule type="expression" dxfId="5" priority="1745">
      <formula>AC72="探"</formula>
    </cfRule>
  </conditionalFormatting>
  <conditionalFormatting sqref="AE72">
    <cfRule type="expression" dxfId="2" priority="1744">
      <formula>AE72="病"</formula>
    </cfRule>
    <cfRule type="expression" dxfId="3" priority="1743">
      <formula>AE72="事"</formula>
    </cfRule>
    <cfRule type="expression" dxfId="4" priority="1742">
      <formula>AE72="年"</formula>
    </cfRule>
    <cfRule type="expression" dxfId="5" priority="1741">
      <formula>AE72="探"</formula>
    </cfRule>
  </conditionalFormatting>
  <conditionalFormatting sqref="AF72">
    <cfRule type="expression" dxfId="2" priority="572">
      <formula>AF72="病"</formula>
    </cfRule>
    <cfRule type="expression" dxfId="3" priority="571">
      <formula>AF72="事"</formula>
    </cfRule>
    <cfRule type="expression" dxfId="4" priority="570">
      <formula>AF72="年"</formula>
    </cfRule>
    <cfRule type="expression" dxfId="5" priority="569">
      <formula>AF72="探"</formula>
    </cfRule>
  </conditionalFormatting>
  <conditionalFormatting sqref="AG72">
    <cfRule type="expression" dxfId="2" priority="568">
      <formula>AG72="病"</formula>
    </cfRule>
    <cfRule type="expression" dxfId="3" priority="567">
      <formula>AG72="事"</formula>
    </cfRule>
    <cfRule type="expression" dxfId="4" priority="566">
      <formula>AG72="年"</formula>
    </cfRule>
    <cfRule type="expression" dxfId="5" priority="565">
      <formula>AG72="探"</formula>
    </cfRule>
  </conditionalFormatting>
  <conditionalFormatting sqref="AH72">
    <cfRule type="expression" dxfId="2" priority="576">
      <formula>AH72="病"</formula>
    </cfRule>
    <cfRule type="expression" dxfId="3" priority="575">
      <formula>AH72="事"</formula>
    </cfRule>
    <cfRule type="expression" dxfId="4" priority="574">
      <formula>AH72="年"</formula>
    </cfRule>
    <cfRule type="expression" dxfId="5" priority="573">
      <formula>AH72="探"</formula>
    </cfRule>
  </conditionalFormatting>
  <conditionalFormatting sqref="AI72">
    <cfRule type="expression" dxfId="2" priority="564">
      <formula>AI72="病"</formula>
    </cfRule>
    <cfRule type="expression" dxfId="3" priority="563">
      <formula>AI72="事"</formula>
    </cfRule>
    <cfRule type="expression" dxfId="4" priority="562">
      <formula>AI72="年"</formula>
    </cfRule>
    <cfRule type="expression" dxfId="5" priority="561">
      <formula>AI72="探"</formula>
    </cfRule>
  </conditionalFormatting>
  <conditionalFormatting sqref="AJ72">
    <cfRule type="expression" dxfId="2" priority="560">
      <formula>AJ72="病"</formula>
    </cfRule>
    <cfRule type="expression" dxfId="3" priority="559">
      <formula>AJ72="事"</formula>
    </cfRule>
    <cfRule type="expression" dxfId="4" priority="558">
      <formula>AJ72="年"</formula>
    </cfRule>
    <cfRule type="expression" dxfId="5" priority="557">
      <formula>AJ72="探"</formula>
    </cfRule>
  </conditionalFormatting>
  <conditionalFormatting sqref="AK72">
    <cfRule type="expression" dxfId="2" priority="556">
      <formula>AK72="病"</formula>
    </cfRule>
    <cfRule type="expression" dxfId="3" priority="555">
      <formula>AK72="事"</formula>
    </cfRule>
    <cfRule type="expression" dxfId="4" priority="554">
      <formula>AK72="年"</formula>
    </cfRule>
    <cfRule type="expression" dxfId="5" priority="553">
      <formula>AK72="探"</formula>
    </cfRule>
  </conditionalFormatting>
  <conditionalFormatting sqref="K73:L73">
    <cfRule type="expression" dxfId="2" priority="1216">
      <formula>K73="病"</formula>
    </cfRule>
    <cfRule type="expression" dxfId="3" priority="1215">
      <formula>K73="事"</formula>
    </cfRule>
    <cfRule type="expression" dxfId="4" priority="1214">
      <formula>K73="年"</formula>
    </cfRule>
    <cfRule type="expression" dxfId="5" priority="1213">
      <formula>K73="探"</formula>
    </cfRule>
  </conditionalFormatting>
  <conditionalFormatting sqref="M73">
    <cfRule type="expression" dxfId="2" priority="1220">
      <formula>M73="病"</formula>
    </cfRule>
    <cfRule type="expression" dxfId="3" priority="1219">
      <formula>M73="事"</formula>
    </cfRule>
    <cfRule type="expression" dxfId="4" priority="1218">
      <formula>M73="年"</formula>
    </cfRule>
    <cfRule type="expression" dxfId="5" priority="1217">
      <formula>M73="探"</formula>
    </cfRule>
  </conditionalFormatting>
  <conditionalFormatting sqref="N73">
    <cfRule type="expression" dxfId="2" priority="1224">
      <formula>N73="病"</formula>
    </cfRule>
    <cfRule type="expression" dxfId="3" priority="1223">
      <formula>N73="事"</formula>
    </cfRule>
    <cfRule type="expression" dxfId="4" priority="1222">
      <formula>N73="年"</formula>
    </cfRule>
    <cfRule type="expression" dxfId="5" priority="1221">
      <formula>N73="探"</formula>
    </cfRule>
  </conditionalFormatting>
  <conditionalFormatting sqref="O73">
    <cfRule type="expression" dxfId="2" priority="1204">
      <formula>O73="病"</formula>
    </cfRule>
    <cfRule type="expression" dxfId="3" priority="1203">
      <formula>O73="事"</formula>
    </cfRule>
    <cfRule type="expression" dxfId="4" priority="1202">
      <formula>O73="年"</formula>
    </cfRule>
    <cfRule type="expression" dxfId="5" priority="1201">
      <formula>O73="探"</formula>
    </cfRule>
  </conditionalFormatting>
  <conditionalFormatting sqref="P73">
    <cfRule type="expression" dxfId="2" priority="1208">
      <formula>P73="病"</formula>
    </cfRule>
    <cfRule type="expression" dxfId="3" priority="1207">
      <formula>P73="事"</formula>
    </cfRule>
    <cfRule type="expression" dxfId="4" priority="1206">
      <formula>P73="年"</formula>
    </cfRule>
    <cfRule type="expression" dxfId="5" priority="1205">
      <formula>P73="探"</formula>
    </cfRule>
  </conditionalFormatting>
  <conditionalFormatting sqref="Q73">
    <cfRule type="expression" dxfId="2" priority="1212">
      <formula>Q73="病"</formula>
    </cfRule>
    <cfRule type="expression" dxfId="3" priority="1211">
      <formula>Q73="事"</formula>
    </cfRule>
    <cfRule type="expression" dxfId="4" priority="1210">
      <formula>Q73="年"</formula>
    </cfRule>
    <cfRule type="expression" dxfId="5" priority="1209">
      <formula>Q73="探"</formula>
    </cfRule>
  </conditionalFormatting>
  <conditionalFormatting sqref="R73">
    <cfRule type="expression" dxfId="2" priority="1192">
      <formula>R73="病"</formula>
    </cfRule>
    <cfRule type="expression" dxfId="3" priority="1191">
      <formula>R73="事"</formula>
    </cfRule>
    <cfRule type="expression" dxfId="4" priority="1190">
      <formula>R73="年"</formula>
    </cfRule>
    <cfRule type="expression" dxfId="5" priority="1189">
      <formula>R73="探"</formula>
    </cfRule>
  </conditionalFormatting>
  <conditionalFormatting sqref="S73">
    <cfRule type="expression" dxfId="2" priority="1196">
      <formula>S73="病"</formula>
    </cfRule>
    <cfRule type="expression" dxfId="3" priority="1195">
      <formula>S73="事"</formula>
    </cfRule>
    <cfRule type="expression" dxfId="4" priority="1194">
      <formula>S73="年"</formula>
    </cfRule>
    <cfRule type="expression" dxfId="5" priority="1193">
      <formula>S73="探"</formula>
    </cfRule>
  </conditionalFormatting>
  <conditionalFormatting sqref="T73">
    <cfRule type="expression" dxfId="2" priority="1200">
      <formula>T73="病"</formula>
    </cfRule>
    <cfRule type="expression" dxfId="3" priority="1199">
      <formula>T73="事"</formula>
    </cfRule>
    <cfRule type="expression" dxfId="4" priority="1198">
      <formula>T73="年"</formula>
    </cfRule>
    <cfRule type="expression" dxfId="5" priority="1197">
      <formula>T73="探"</formula>
    </cfRule>
  </conditionalFormatting>
  <conditionalFormatting sqref="U73">
    <cfRule type="expression" dxfId="2" priority="1180">
      <formula>U73="病"</formula>
    </cfRule>
    <cfRule type="expression" dxfId="3" priority="1179">
      <formula>U73="事"</formula>
    </cfRule>
    <cfRule type="expression" dxfId="4" priority="1178">
      <formula>U73="年"</formula>
    </cfRule>
    <cfRule type="expression" dxfId="5" priority="1177">
      <formula>U73="探"</formula>
    </cfRule>
  </conditionalFormatting>
  <conditionalFormatting sqref="V73">
    <cfRule type="expression" dxfId="2" priority="1184">
      <formula>V73="病"</formula>
    </cfRule>
    <cfRule type="expression" dxfId="3" priority="1183">
      <formula>V73="事"</formula>
    </cfRule>
    <cfRule type="expression" dxfId="4" priority="1182">
      <formula>V73="年"</formula>
    </cfRule>
    <cfRule type="expression" dxfId="5" priority="1181">
      <formula>V73="探"</formula>
    </cfRule>
  </conditionalFormatting>
  <conditionalFormatting sqref="W73">
    <cfRule type="expression" dxfId="2" priority="1188">
      <formula>W73="病"</formula>
    </cfRule>
    <cfRule type="expression" dxfId="3" priority="1187">
      <formula>W73="事"</formula>
    </cfRule>
    <cfRule type="expression" dxfId="4" priority="1186">
      <formula>W73="年"</formula>
    </cfRule>
    <cfRule type="expression" dxfId="5" priority="1185">
      <formula>W73="探"</formula>
    </cfRule>
  </conditionalFormatting>
  <conditionalFormatting sqref="X73">
    <cfRule type="expression" dxfId="2" priority="1168">
      <formula>X73="病"</formula>
    </cfRule>
    <cfRule type="expression" dxfId="3" priority="1167">
      <formula>X73="事"</formula>
    </cfRule>
    <cfRule type="expression" dxfId="4" priority="1166">
      <formula>X73="年"</formula>
    </cfRule>
    <cfRule type="expression" dxfId="5" priority="1165">
      <formula>X73="探"</formula>
    </cfRule>
  </conditionalFormatting>
  <conditionalFormatting sqref="Y73">
    <cfRule type="expression" dxfId="2" priority="1172">
      <formula>Y73="病"</formula>
    </cfRule>
    <cfRule type="expression" dxfId="3" priority="1171">
      <formula>Y73="事"</formula>
    </cfRule>
    <cfRule type="expression" dxfId="4" priority="1170">
      <formula>Y73="年"</formula>
    </cfRule>
    <cfRule type="expression" dxfId="5" priority="1169">
      <formula>Y73="探"</formula>
    </cfRule>
  </conditionalFormatting>
  <conditionalFormatting sqref="Z73">
    <cfRule type="expression" dxfId="2" priority="1176">
      <formula>Z73="病"</formula>
    </cfRule>
    <cfRule type="expression" dxfId="3" priority="1175">
      <formula>Z73="事"</formula>
    </cfRule>
    <cfRule type="expression" dxfId="4" priority="1174">
      <formula>Z73="年"</formula>
    </cfRule>
    <cfRule type="expression" dxfId="5" priority="1173">
      <formula>Z73="探"</formula>
    </cfRule>
  </conditionalFormatting>
  <conditionalFormatting sqref="AA73">
    <cfRule type="expression" dxfId="2" priority="1156">
      <formula>AA73="病"</formula>
    </cfRule>
    <cfRule type="expression" dxfId="3" priority="1155">
      <formula>AA73="事"</formula>
    </cfRule>
    <cfRule type="expression" dxfId="4" priority="1154">
      <formula>AA73="年"</formula>
    </cfRule>
    <cfRule type="expression" dxfId="5" priority="1153">
      <formula>AA73="探"</formula>
    </cfRule>
  </conditionalFormatting>
  <conditionalFormatting sqref="AB73">
    <cfRule type="expression" dxfId="2" priority="1160">
      <formula>AB73="病"</formula>
    </cfRule>
    <cfRule type="expression" dxfId="3" priority="1159">
      <formula>AB73="事"</formula>
    </cfRule>
    <cfRule type="expression" dxfId="4" priority="1158">
      <formula>AB73="年"</formula>
    </cfRule>
    <cfRule type="expression" dxfId="5" priority="1157">
      <formula>AB73="探"</formula>
    </cfRule>
  </conditionalFormatting>
  <conditionalFormatting sqref="AC73">
    <cfRule type="expression" dxfId="2" priority="1164">
      <formula>AC73="病"</formula>
    </cfRule>
    <cfRule type="expression" dxfId="3" priority="1163">
      <formula>AC73="事"</formula>
    </cfRule>
    <cfRule type="expression" dxfId="4" priority="1162">
      <formula>AC73="年"</formula>
    </cfRule>
    <cfRule type="expression" dxfId="5" priority="1161">
      <formula>AC73="探"</formula>
    </cfRule>
  </conditionalFormatting>
  <conditionalFormatting sqref="J74:S74">
    <cfRule type="expression" dxfId="5" priority="8785">
      <formula>J74="探"</formula>
    </cfRule>
    <cfRule type="expression" dxfId="4" priority="8786">
      <formula>J74="年"</formula>
    </cfRule>
    <cfRule type="expression" dxfId="3" priority="8787">
      <formula>J74="事"</formula>
    </cfRule>
    <cfRule type="expression" dxfId="2" priority="8788">
      <formula>J74="病"</formula>
    </cfRule>
  </conditionalFormatting>
  <conditionalFormatting sqref="Z74:AB74">
    <cfRule type="expression" dxfId="5" priority="8097">
      <formula>Z74="探"</formula>
    </cfRule>
    <cfRule type="expression" dxfId="4" priority="8098">
      <formula>Z74="年"</formula>
    </cfRule>
    <cfRule type="expression" dxfId="3" priority="8099">
      <formula>Z74="事"</formula>
    </cfRule>
    <cfRule type="expression" dxfId="2" priority="8100">
      <formula>Z74="病"</formula>
    </cfRule>
  </conditionalFormatting>
  <conditionalFormatting sqref="AF74">
    <cfRule type="expression" dxfId="5" priority="6793">
      <formula>AF74="探"</formula>
    </cfRule>
    <cfRule type="expression" dxfId="4" priority="6794">
      <formula>AF74="年"</formula>
    </cfRule>
    <cfRule type="expression" dxfId="3" priority="6795">
      <formula>AF74="事"</formula>
    </cfRule>
    <cfRule type="expression" dxfId="2" priority="6796">
      <formula>AF74="病"</formula>
    </cfRule>
  </conditionalFormatting>
  <conditionalFormatting sqref="AG74:AJ74">
    <cfRule type="expression" dxfId="5" priority="6797">
      <formula>AG74="探"</formula>
    </cfRule>
    <cfRule type="expression" dxfId="4" priority="6798">
      <formula>AG74="年"</formula>
    </cfRule>
    <cfRule type="expression" dxfId="3" priority="6799">
      <formula>AG74="事"</formula>
    </cfRule>
    <cfRule type="expression" dxfId="2" priority="6800">
      <formula>AG74="病"</formula>
    </cfRule>
  </conditionalFormatting>
  <conditionalFormatting sqref="K75">
    <cfRule type="expression" dxfId="5" priority="5637">
      <formula>K75="探"</formula>
    </cfRule>
    <cfRule type="expression" dxfId="4" priority="5638">
      <formula>K75="年"</formula>
    </cfRule>
    <cfRule type="expression" dxfId="3" priority="5639">
      <formula>K75="事"</formula>
    </cfRule>
    <cfRule type="expression" dxfId="2" priority="5640">
      <formula>K75="病"</formula>
    </cfRule>
  </conditionalFormatting>
  <conditionalFormatting sqref="L75:N75">
    <cfRule type="expression" dxfId="5" priority="5633">
      <formula>L75="探"</formula>
    </cfRule>
    <cfRule type="expression" dxfId="4" priority="5634">
      <formula>L75="年"</formula>
    </cfRule>
    <cfRule type="expression" dxfId="3" priority="5635">
      <formula>L75="事"</formula>
    </cfRule>
    <cfRule type="expression" dxfId="2" priority="5636">
      <formula>L75="病"</formula>
    </cfRule>
  </conditionalFormatting>
  <conditionalFormatting sqref="O75:Q75">
    <cfRule type="expression" dxfId="5" priority="4681">
      <formula>O75="探"</formula>
    </cfRule>
    <cfRule type="expression" dxfId="4" priority="4682">
      <formula>O75="年"</formula>
    </cfRule>
    <cfRule type="expression" dxfId="3" priority="4683">
      <formula>O75="事"</formula>
    </cfRule>
    <cfRule type="expression" dxfId="2" priority="4684">
      <formula>O75="病"</formula>
    </cfRule>
  </conditionalFormatting>
  <conditionalFormatting sqref="R75:T75">
    <cfRule type="expression" dxfId="5" priority="4677">
      <formula>R75="探"</formula>
    </cfRule>
    <cfRule type="expression" dxfId="4" priority="4678">
      <formula>R75="年"</formula>
    </cfRule>
    <cfRule type="expression" dxfId="3" priority="4679">
      <formula>R75="事"</formula>
    </cfRule>
    <cfRule type="expression" dxfId="2" priority="4680">
      <formula>R75="病"</formula>
    </cfRule>
  </conditionalFormatting>
  <conditionalFormatting sqref="U75:W75">
    <cfRule type="expression" dxfId="5" priority="3989">
      <formula>U75="探"</formula>
    </cfRule>
    <cfRule type="expression" dxfId="4" priority="3990">
      <formula>U75="年"</formula>
    </cfRule>
    <cfRule type="expression" dxfId="3" priority="3991">
      <formula>U75="事"</formula>
    </cfRule>
    <cfRule type="expression" dxfId="2" priority="3992">
      <formula>U75="病"</formula>
    </cfRule>
  </conditionalFormatting>
  <conditionalFormatting sqref="X75">
    <cfRule type="expression" dxfId="5" priority="3985">
      <formula>X75="探"</formula>
    </cfRule>
    <cfRule type="expression" dxfId="4" priority="3986">
      <formula>X75="年"</formula>
    </cfRule>
    <cfRule type="expression" dxfId="3" priority="3987">
      <formula>X75="事"</formula>
    </cfRule>
    <cfRule type="expression" dxfId="2" priority="3988">
      <formula>X75="病"</formula>
    </cfRule>
  </conditionalFormatting>
  <conditionalFormatting sqref="Y75">
    <cfRule type="expression" dxfId="5" priority="8089">
      <formula>Y75="探"</formula>
    </cfRule>
    <cfRule type="expression" dxfId="4" priority="8090">
      <formula>Y75="年"</formula>
    </cfRule>
    <cfRule type="expression" dxfId="3" priority="8091">
      <formula>Y75="事"</formula>
    </cfRule>
    <cfRule type="expression" dxfId="2" priority="8092">
      <formula>Y75="病"</formula>
    </cfRule>
  </conditionalFormatting>
  <conditionalFormatting sqref="Z75">
    <cfRule type="expression" dxfId="5" priority="8085">
      <formula>Z75="探"</formula>
    </cfRule>
    <cfRule type="expression" dxfId="4" priority="8086">
      <formula>Z75="年"</formula>
    </cfRule>
    <cfRule type="expression" dxfId="3" priority="8087">
      <formula>Z75="事"</formula>
    </cfRule>
    <cfRule type="expression" dxfId="2" priority="8088">
      <formula>Z75="病"</formula>
    </cfRule>
  </conditionalFormatting>
  <conditionalFormatting sqref="AA75:AC75">
    <cfRule type="expression" dxfId="5" priority="8093">
      <formula>AA75="探"</formula>
    </cfRule>
    <cfRule type="expression" dxfId="4" priority="8094">
      <formula>AA75="年"</formula>
    </cfRule>
    <cfRule type="expression" dxfId="3" priority="8095">
      <formula>AA75="事"</formula>
    </cfRule>
    <cfRule type="expression" dxfId="2" priority="8096">
      <formula>AA75="病"</formula>
    </cfRule>
  </conditionalFormatting>
  <conditionalFormatting sqref="AD75">
    <cfRule type="expression" dxfId="5" priority="8077">
      <formula>AD75="探"</formula>
    </cfRule>
    <cfRule type="expression" dxfId="4" priority="8078">
      <formula>AD75="年"</formula>
    </cfRule>
    <cfRule type="expression" dxfId="3" priority="8079">
      <formula>AD75="事"</formula>
    </cfRule>
    <cfRule type="expression" dxfId="2" priority="8080">
      <formula>AD75="病"</formula>
    </cfRule>
  </conditionalFormatting>
  <conditionalFormatting sqref="AE75">
    <cfRule type="expression" dxfId="5" priority="8081">
      <formula>AE75="探"</formula>
    </cfRule>
    <cfRule type="expression" dxfId="4" priority="8082">
      <formula>AE75="年"</formula>
    </cfRule>
    <cfRule type="expression" dxfId="3" priority="8083">
      <formula>AE75="事"</formula>
    </cfRule>
    <cfRule type="expression" dxfId="2" priority="8084">
      <formula>AE75="病"</formula>
    </cfRule>
  </conditionalFormatting>
  <conditionalFormatting sqref="AF75">
    <cfRule type="expression" dxfId="5" priority="6781">
      <formula>AF75="探"</formula>
    </cfRule>
    <cfRule type="expression" dxfId="4" priority="6782">
      <formula>AF75="年"</formula>
    </cfRule>
    <cfRule type="expression" dxfId="3" priority="6783">
      <formula>AF75="事"</formula>
    </cfRule>
    <cfRule type="expression" dxfId="2" priority="6784">
      <formula>AF75="病"</formula>
    </cfRule>
  </conditionalFormatting>
  <conditionalFormatting sqref="AG75:AJ75">
    <cfRule type="expression" dxfId="5" priority="6785">
      <formula>AG75="探"</formula>
    </cfRule>
    <cfRule type="expression" dxfId="4" priority="6786">
      <formula>AG75="年"</formula>
    </cfRule>
    <cfRule type="expression" dxfId="3" priority="6787">
      <formula>AG75="事"</formula>
    </cfRule>
    <cfRule type="expression" dxfId="2" priority="6788">
      <formula>AG75="病"</formula>
    </cfRule>
  </conditionalFormatting>
  <conditionalFormatting sqref="AK75">
    <cfRule type="expression" dxfId="5" priority="6789">
      <formula>AK75="探"</formula>
    </cfRule>
    <cfRule type="expression" dxfId="4" priority="6790">
      <formula>AK75="年"</formula>
    </cfRule>
    <cfRule type="expression" dxfId="3" priority="6791">
      <formula>AK75="事"</formula>
    </cfRule>
    <cfRule type="expression" dxfId="2" priority="6792">
      <formula>AK75="病"</formula>
    </cfRule>
  </conditionalFormatting>
  <conditionalFormatting sqref="G76">
    <cfRule type="expression" dxfId="5" priority="6265">
      <formula>G76="探"</formula>
    </cfRule>
    <cfRule type="expression" dxfId="4" priority="6266">
      <formula>G76="年"</formula>
    </cfRule>
    <cfRule type="expression" dxfId="3" priority="6267">
      <formula>G76="事"</formula>
    </cfRule>
    <cfRule type="expression" dxfId="2" priority="6268">
      <formula>G76="病"</formula>
    </cfRule>
  </conditionalFormatting>
  <conditionalFormatting sqref="H76:I76">
    <cfRule type="expression" dxfId="5" priority="6257">
      <formula>H76="探"</formula>
    </cfRule>
    <cfRule type="expression" dxfId="4" priority="6258">
      <formula>H76="年"</formula>
    </cfRule>
    <cfRule type="expression" dxfId="3" priority="6259">
      <formula>H76="事"</formula>
    </cfRule>
    <cfRule type="expression" dxfId="2" priority="6260">
      <formula>H76="病"</formula>
    </cfRule>
  </conditionalFormatting>
  <conditionalFormatting sqref="J76">
    <cfRule type="expression" dxfId="5" priority="6261">
      <formula>J76="探"</formula>
    </cfRule>
    <cfRule type="expression" dxfId="4" priority="6262">
      <formula>J76="年"</formula>
    </cfRule>
    <cfRule type="expression" dxfId="3" priority="6263">
      <formula>J76="事"</formula>
    </cfRule>
    <cfRule type="expression" dxfId="2" priority="6264">
      <formula>J76="病"</formula>
    </cfRule>
  </conditionalFormatting>
  <conditionalFormatting sqref="K76:L76">
    <cfRule type="expression" dxfId="5" priority="5625">
      <formula>K76="探"</formula>
    </cfRule>
    <cfRule type="expression" dxfId="4" priority="5626">
      <formula>K76="年"</formula>
    </cfRule>
    <cfRule type="expression" dxfId="3" priority="5627">
      <formula>K76="事"</formula>
    </cfRule>
    <cfRule type="expression" dxfId="2" priority="5628">
      <formula>K76="病"</formula>
    </cfRule>
  </conditionalFormatting>
  <conditionalFormatting sqref="M76">
    <cfRule type="expression" dxfId="5" priority="5629">
      <formula>M76="探"</formula>
    </cfRule>
    <cfRule type="expression" dxfId="4" priority="5630">
      <formula>M76="年"</formula>
    </cfRule>
    <cfRule type="expression" dxfId="3" priority="5631">
      <formula>M76="事"</formula>
    </cfRule>
    <cfRule type="expression" dxfId="2" priority="5632">
      <formula>M76="病"</formula>
    </cfRule>
  </conditionalFormatting>
  <conditionalFormatting sqref="N76">
    <cfRule type="expression" dxfId="5" priority="5621">
      <formula>N76="探"</formula>
    </cfRule>
    <cfRule type="expression" dxfId="4" priority="5622">
      <formula>N76="年"</formula>
    </cfRule>
    <cfRule type="expression" dxfId="3" priority="5623">
      <formula>N76="事"</formula>
    </cfRule>
    <cfRule type="expression" dxfId="2" priority="5624">
      <formula>N76="病"</formula>
    </cfRule>
  </conditionalFormatting>
  <conditionalFormatting sqref="O76">
    <cfRule type="expression" dxfId="5" priority="8625">
      <formula>O76="探"</formula>
    </cfRule>
    <cfRule type="expression" dxfId="4" priority="8626">
      <formula>O76="年"</formula>
    </cfRule>
    <cfRule type="expression" dxfId="3" priority="8627">
      <formula>O76="事"</formula>
    </cfRule>
    <cfRule type="expression" dxfId="2" priority="8628">
      <formula>O76="病"</formula>
    </cfRule>
  </conditionalFormatting>
  <conditionalFormatting sqref="P76">
    <cfRule type="expression" dxfId="5" priority="8621">
      <formula>P76="探"</formula>
    </cfRule>
    <cfRule type="expression" dxfId="4" priority="8622">
      <formula>P76="年"</formula>
    </cfRule>
    <cfRule type="expression" dxfId="3" priority="8623">
      <formula>P76="事"</formula>
    </cfRule>
    <cfRule type="expression" dxfId="2" priority="8624">
      <formula>P76="病"</formula>
    </cfRule>
  </conditionalFormatting>
  <conditionalFormatting sqref="Q76">
    <cfRule type="expression" dxfId="5" priority="4665">
      <formula>Q76="探"</formula>
    </cfRule>
    <cfRule type="expression" dxfId="4" priority="4666">
      <formula>Q76="年"</formula>
    </cfRule>
    <cfRule type="expression" dxfId="3" priority="4667">
      <formula>Q76="事"</formula>
    </cfRule>
    <cfRule type="expression" dxfId="2" priority="4668">
      <formula>Q76="病"</formula>
    </cfRule>
  </conditionalFormatting>
  <conditionalFormatting sqref="R76">
    <cfRule type="expression" dxfId="5" priority="4673">
      <formula>R76="探"</formula>
    </cfRule>
    <cfRule type="expression" dxfId="4" priority="4674">
      <formula>R76="年"</formula>
    </cfRule>
    <cfRule type="expression" dxfId="3" priority="4675">
      <formula>R76="事"</formula>
    </cfRule>
    <cfRule type="expression" dxfId="2" priority="4676">
      <formula>R76="病"</formula>
    </cfRule>
  </conditionalFormatting>
  <conditionalFormatting sqref="S76">
    <cfRule type="expression" dxfId="5" priority="4669">
      <formula>S76="探"</formula>
    </cfRule>
    <cfRule type="expression" dxfId="4" priority="4670">
      <formula>S76="年"</formula>
    </cfRule>
    <cfRule type="expression" dxfId="3" priority="4671">
      <formula>S76="事"</formula>
    </cfRule>
    <cfRule type="expression" dxfId="2" priority="4672">
      <formula>S76="病"</formula>
    </cfRule>
  </conditionalFormatting>
  <conditionalFormatting sqref="T76">
    <cfRule type="expression" dxfId="5" priority="3973">
      <formula>T76="探"</formula>
    </cfRule>
    <cfRule type="expression" dxfId="4" priority="3974">
      <formula>T76="年"</formula>
    </cfRule>
    <cfRule type="expression" dxfId="3" priority="3975">
      <formula>T76="事"</formula>
    </cfRule>
    <cfRule type="expression" dxfId="2" priority="3976">
      <formula>T76="病"</formula>
    </cfRule>
  </conditionalFormatting>
  <conditionalFormatting sqref="U76">
    <cfRule type="expression" dxfId="5" priority="3981">
      <formula>U76="探"</formula>
    </cfRule>
    <cfRule type="expression" dxfId="4" priority="3982">
      <formula>U76="年"</formula>
    </cfRule>
    <cfRule type="expression" dxfId="3" priority="3983">
      <formula>U76="事"</formula>
    </cfRule>
    <cfRule type="expression" dxfId="2" priority="3984">
      <formula>U76="病"</formula>
    </cfRule>
  </conditionalFormatting>
  <conditionalFormatting sqref="V76">
    <cfRule type="expression" dxfId="5" priority="3977">
      <formula>V76="探"</formula>
    </cfRule>
    <cfRule type="expression" dxfId="4" priority="3978">
      <formula>V76="年"</formula>
    </cfRule>
    <cfRule type="expression" dxfId="3" priority="3979">
      <formula>V76="事"</formula>
    </cfRule>
    <cfRule type="expression" dxfId="2" priority="3980">
      <formula>V76="病"</formula>
    </cfRule>
  </conditionalFormatting>
  <conditionalFormatting sqref="W76">
    <cfRule type="expression" dxfId="5" priority="3961">
      <formula>W76="探"</formula>
    </cfRule>
    <cfRule type="expression" dxfId="4" priority="3962">
      <formula>W76="年"</formula>
    </cfRule>
    <cfRule type="expression" dxfId="3" priority="3963">
      <formula>W76="事"</formula>
    </cfRule>
    <cfRule type="expression" dxfId="2" priority="3964">
      <formula>W76="病"</formula>
    </cfRule>
  </conditionalFormatting>
  <conditionalFormatting sqref="Y76">
    <cfRule type="expression" dxfId="2" priority="1736">
      <formula>Y76="病"</formula>
    </cfRule>
    <cfRule type="expression" dxfId="3" priority="1735">
      <formula>Y76="事"</formula>
    </cfRule>
    <cfRule type="expression" dxfId="4" priority="1734">
      <formula>Y76="年"</formula>
    </cfRule>
    <cfRule type="expression" dxfId="5" priority="1733">
      <formula>Y76="探"</formula>
    </cfRule>
  </conditionalFormatting>
  <conditionalFormatting sqref="Z76">
    <cfRule type="expression" dxfId="2" priority="1724">
      <formula>Z76="病"</formula>
    </cfRule>
    <cfRule type="expression" dxfId="3" priority="1723">
      <formula>Z76="事"</formula>
    </cfRule>
    <cfRule type="expression" dxfId="4" priority="1722">
      <formula>Z76="年"</formula>
    </cfRule>
    <cfRule type="expression" dxfId="5" priority="1721">
      <formula>Z76="探"</formula>
    </cfRule>
  </conditionalFormatting>
  <conditionalFormatting sqref="AA76">
    <cfRule type="expression" dxfId="2" priority="1732">
      <formula>AA76="病"</formula>
    </cfRule>
    <cfRule type="expression" dxfId="3" priority="1731">
      <formula>AA76="事"</formula>
    </cfRule>
    <cfRule type="expression" dxfId="4" priority="1730">
      <formula>AA76="年"</formula>
    </cfRule>
    <cfRule type="expression" dxfId="5" priority="1729">
      <formula>AA76="探"</formula>
    </cfRule>
  </conditionalFormatting>
  <conditionalFormatting sqref="AB76">
    <cfRule type="expression" dxfId="2" priority="1728">
      <formula>AB76="病"</formula>
    </cfRule>
    <cfRule type="expression" dxfId="3" priority="1727">
      <formula>AB76="事"</formula>
    </cfRule>
    <cfRule type="expression" dxfId="4" priority="1726">
      <formula>AB76="年"</formula>
    </cfRule>
    <cfRule type="expression" dxfId="5" priority="1725">
      <formula>AB76="探"</formula>
    </cfRule>
  </conditionalFormatting>
  <conditionalFormatting sqref="AC76">
    <cfRule type="expression" dxfId="2" priority="1720">
      <formula>AC76="病"</formula>
    </cfRule>
    <cfRule type="expression" dxfId="3" priority="1719">
      <formula>AC76="事"</formula>
    </cfRule>
    <cfRule type="expression" dxfId="4" priority="1718">
      <formula>AC76="年"</formula>
    </cfRule>
    <cfRule type="expression" dxfId="5" priority="1717">
      <formula>AC76="探"</formula>
    </cfRule>
  </conditionalFormatting>
  <conditionalFormatting sqref="AD76">
    <cfRule type="expression" dxfId="5" priority="2161">
      <formula>AD76="探"</formula>
    </cfRule>
    <cfRule type="expression" dxfId="4" priority="2162">
      <formula>AD76="年"</formula>
    </cfRule>
    <cfRule type="expression" dxfId="3" priority="2163">
      <formula>AD76="事"</formula>
    </cfRule>
    <cfRule type="expression" dxfId="2" priority="2164">
      <formula>AD76="病"</formula>
    </cfRule>
  </conditionalFormatting>
  <conditionalFormatting sqref="AE76">
    <cfRule type="expression" dxfId="5" priority="2157">
      <formula>AE76="探"</formula>
    </cfRule>
    <cfRule type="expression" dxfId="4" priority="2158">
      <formula>AE76="年"</formula>
    </cfRule>
    <cfRule type="expression" dxfId="3" priority="2159">
      <formula>AE76="事"</formula>
    </cfRule>
    <cfRule type="expression" dxfId="2" priority="2160">
      <formula>AE76="病"</formula>
    </cfRule>
  </conditionalFormatting>
  <conditionalFormatting sqref="AF76">
    <cfRule type="expression" dxfId="5" priority="8073">
      <formula>AF76="探"</formula>
    </cfRule>
    <cfRule type="expression" dxfId="4" priority="8074">
      <formula>AF76="年"</formula>
    </cfRule>
    <cfRule type="expression" dxfId="3" priority="8075">
      <formula>AF76="事"</formula>
    </cfRule>
    <cfRule type="expression" dxfId="2" priority="8076">
      <formula>AF76="病"</formula>
    </cfRule>
  </conditionalFormatting>
  <conditionalFormatting sqref="AG76">
    <cfRule type="expression" dxfId="5" priority="6777">
      <formula>AG76="探"</formula>
    </cfRule>
    <cfRule type="expression" dxfId="4" priority="6778">
      <formula>AG76="年"</formula>
    </cfRule>
    <cfRule type="expression" dxfId="3" priority="6779">
      <formula>AG76="事"</formula>
    </cfRule>
    <cfRule type="expression" dxfId="2" priority="6780">
      <formula>AG76="病"</formula>
    </cfRule>
  </conditionalFormatting>
  <conditionalFormatting sqref="AH76:AK76">
    <cfRule type="expression" dxfId="5" priority="6773">
      <formula>AH76="探"</formula>
    </cfRule>
    <cfRule type="expression" dxfId="4" priority="6774">
      <formula>AH76="年"</formula>
    </cfRule>
    <cfRule type="expression" dxfId="3" priority="6775">
      <formula>AH76="事"</formula>
    </cfRule>
    <cfRule type="expression" dxfId="2" priority="6776">
      <formula>AH76="病"</formula>
    </cfRule>
  </conditionalFormatting>
  <conditionalFormatting sqref="I77">
    <cfRule type="expression" dxfId="5" priority="8825">
      <formula>I77="探"</formula>
    </cfRule>
    <cfRule type="expression" dxfId="4" priority="8826">
      <formula>I77="年"</formula>
    </cfRule>
    <cfRule type="expression" dxfId="3" priority="8827">
      <formula>I77="事"</formula>
    </cfRule>
    <cfRule type="expression" dxfId="2" priority="8828">
      <formula>I77="病"</formula>
    </cfRule>
  </conditionalFormatting>
  <conditionalFormatting sqref="L77">
    <cfRule type="expression" dxfId="5" priority="5613">
      <formula>L77="探"</formula>
    </cfRule>
    <cfRule type="expression" dxfId="4" priority="5614">
      <formula>L77="年"</formula>
    </cfRule>
    <cfRule type="expression" dxfId="3" priority="5615">
      <formula>L77="事"</formula>
    </cfRule>
    <cfRule type="expression" dxfId="2" priority="5616">
      <formula>L77="病"</formula>
    </cfRule>
  </conditionalFormatting>
  <conditionalFormatting sqref="V77:W77">
    <cfRule type="expression" dxfId="5" priority="3941">
      <formula>V77="探"</formula>
    </cfRule>
    <cfRule type="expression" dxfId="4" priority="3942">
      <formula>V77="年"</formula>
    </cfRule>
    <cfRule type="expression" dxfId="3" priority="3943">
      <formula>V77="事"</formula>
    </cfRule>
    <cfRule type="expression" dxfId="2" priority="3944">
      <formula>V77="病"</formula>
    </cfRule>
  </conditionalFormatting>
  <conditionalFormatting sqref="K78">
    <cfRule type="expression" dxfId="5" priority="5609">
      <formula>K78="探"</formula>
    </cfRule>
    <cfRule type="expression" dxfId="4" priority="5610">
      <formula>K78="年"</formula>
    </cfRule>
    <cfRule type="expression" dxfId="3" priority="5611">
      <formula>K78="事"</formula>
    </cfRule>
    <cfRule type="expression" dxfId="2" priority="5612">
      <formula>K78="病"</formula>
    </cfRule>
  </conditionalFormatting>
  <conditionalFormatting sqref="M78">
    <cfRule type="expression" dxfId="5" priority="5605">
      <formula>M78="探"</formula>
    </cfRule>
    <cfRule type="expression" dxfId="4" priority="5606">
      <formula>M78="年"</formula>
    </cfRule>
    <cfRule type="expression" dxfId="3" priority="5607">
      <formula>M78="事"</formula>
    </cfRule>
    <cfRule type="expression" dxfId="2" priority="5608">
      <formula>M78="病"</formula>
    </cfRule>
  </conditionalFormatting>
  <conditionalFormatting sqref="N78">
    <cfRule type="expression" dxfId="5" priority="5597">
      <formula>N78="探"</formula>
    </cfRule>
    <cfRule type="expression" dxfId="4" priority="5598">
      <formula>N78="年"</formula>
    </cfRule>
    <cfRule type="expression" dxfId="3" priority="5599">
      <formula>N78="事"</formula>
    </cfRule>
    <cfRule type="expression" dxfId="2" priority="5600">
      <formula>N78="病"</formula>
    </cfRule>
  </conditionalFormatting>
  <conditionalFormatting sqref="O78">
    <cfRule type="expression" dxfId="5" priority="5601">
      <formula>O78="探"</formula>
    </cfRule>
    <cfRule type="expression" dxfId="4" priority="5602">
      <formula>O78="年"</formula>
    </cfRule>
    <cfRule type="expression" dxfId="3" priority="5603">
      <formula>O78="事"</formula>
    </cfRule>
    <cfRule type="expression" dxfId="2" priority="5604">
      <formula>O78="病"</formula>
    </cfRule>
  </conditionalFormatting>
  <conditionalFormatting sqref="P78">
    <cfRule type="expression" dxfId="5" priority="3933">
      <formula>P78="探"</formula>
    </cfRule>
    <cfRule type="expression" dxfId="4" priority="3934">
      <formula>P78="年"</formula>
    </cfRule>
    <cfRule type="expression" dxfId="3" priority="3935">
      <formula>P78="事"</formula>
    </cfRule>
    <cfRule type="expression" dxfId="2" priority="3936">
      <formula>P78="病"</formula>
    </cfRule>
  </conditionalFormatting>
  <conditionalFormatting sqref="Q78">
    <cfRule type="expression" dxfId="5" priority="3925">
      <formula>Q78="探"</formula>
    </cfRule>
    <cfRule type="expression" dxfId="4" priority="3926">
      <formula>Q78="年"</formula>
    </cfRule>
    <cfRule type="expression" dxfId="3" priority="3927">
      <formula>Q78="事"</formula>
    </cfRule>
    <cfRule type="expression" dxfId="2" priority="3928">
      <formula>Q78="病"</formula>
    </cfRule>
  </conditionalFormatting>
  <conditionalFormatting sqref="R78">
    <cfRule type="expression" dxfId="5" priority="3929">
      <formula>R78="探"</formula>
    </cfRule>
    <cfRule type="expression" dxfId="4" priority="3930">
      <formula>R78="年"</formula>
    </cfRule>
    <cfRule type="expression" dxfId="3" priority="3931">
      <formula>R78="事"</formula>
    </cfRule>
    <cfRule type="expression" dxfId="2" priority="3932">
      <formula>R78="病"</formula>
    </cfRule>
  </conditionalFormatting>
  <conditionalFormatting sqref="S78">
    <cfRule type="expression" dxfId="5" priority="3921">
      <formula>S78="探"</formula>
    </cfRule>
    <cfRule type="expression" dxfId="4" priority="3922">
      <formula>S78="年"</formula>
    </cfRule>
    <cfRule type="expression" dxfId="3" priority="3923">
      <formula>S78="事"</formula>
    </cfRule>
    <cfRule type="expression" dxfId="2" priority="3924">
      <formula>S78="病"</formula>
    </cfRule>
  </conditionalFormatting>
  <conditionalFormatting sqref="T78">
    <cfRule type="expression" dxfId="5" priority="3913">
      <formula>T78="探"</formula>
    </cfRule>
    <cfRule type="expression" dxfId="4" priority="3914">
      <formula>T78="年"</formula>
    </cfRule>
    <cfRule type="expression" dxfId="3" priority="3915">
      <formula>T78="事"</formula>
    </cfRule>
    <cfRule type="expression" dxfId="2" priority="3916">
      <formula>T78="病"</formula>
    </cfRule>
  </conditionalFormatting>
  <conditionalFormatting sqref="U78">
    <cfRule type="expression" dxfId="5" priority="3917">
      <formula>U78="探"</formula>
    </cfRule>
    <cfRule type="expression" dxfId="4" priority="3918">
      <formula>U78="年"</formula>
    </cfRule>
    <cfRule type="expression" dxfId="3" priority="3919">
      <formula>U78="事"</formula>
    </cfRule>
    <cfRule type="expression" dxfId="2" priority="3920">
      <formula>U78="病"</formula>
    </cfRule>
  </conditionalFormatting>
  <conditionalFormatting sqref="V78">
    <cfRule type="expression" dxfId="5" priority="3909">
      <formula>V78="探"</formula>
    </cfRule>
    <cfRule type="expression" dxfId="4" priority="3910">
      <formula>V78="年"</formula>
    </cfRule>
    <cfRule type="expression" dxfId="3" priority="3911">
      <formula>V78="事"</formula>
    </cfRule>
    <cfRule type="expression" dxfId="2" priority="3912">
      <formula>V78="病"</formula>
    </cfRule>
  </conditionalFormatting>
  <conditionalFormatting sqref="W78">
    <cfRule type="expression" dxfId="5" priority="3901">
      <formula>W78="探"</formula>
    </cfRule>
    <cfRule type="expression" dxfId="4" priority="3902">
      <formula>W78="年"</formula>
    </cfRule>
    <cfRule type="expression" dxfId="3" priority="3903">
      <formula>W78="事"</formula>
    </cfRule>
    <cfRule type="expression" dxfId="2" priority="3904">
      <formula>W78="病"</formula>
    </cfRule>
  </conditionalFormatting>
  <conditionalFormatting sqref="X78">
    <cfRule type="expression" dxfId="5" priority="3905">
      <formula>X78="探"</formula>
    </cfRule>
    <cfRule type="expression" dxfId="4" priority="3906">
      <formula>X78="年"</formula>
    </cfRule>
    <cfRule type="expression" dxfId="3" priority="3907">
      <formula>X78="事"</formula>
    </cfRule>
    <cfRule type="expression" dxfId="2" priority="3908">
      <formula>X78="病"</formula>
    </cfRule>
  </conditionalFormatting>
  <conditionalFormatting sqref="Y78">
    <cfRule type="expression" dxfId="5" priority="8037">
      <formula>Y78="探"</formula>
    </cfRule>
    <cfRule type="expression" dxfId="4" priority="8038">
      <formula>Y78="年"</formula>
    </cfRule>
    <cfRule type="expression" dxfId="3" priority="8039">
      <formula>Y78="事"</formula>
    </cfRule>
    <cfRule type="expression" dxfId="2" priority="8040">
      <formula>Y78="病"</formula>
    </cfRule>
  </conditionalFormatting>
  <conditionalFormatting sqref="AF78:AI78">
    <cfRule type="expression" dxfId="5" priority="6753">
      <formula>AF78="探"</formula>
    </cfRule>
    <cfRule type="expression" dxfId="4" priority="6754">
      <formula>AF78="年"</formula>
    </cfRule>
    <cfRule type="expression" dxfId="3" priority="6755">
      <formula>AF78="事"</formula>
    </cfRule>
    <cfRule type="expression" dxfId="2" priority="6756">
      <formula>AF78="病"</formula>
    </cfRule>
  </conditionalFormatting>
  <conditionalFormatting sqref="AJ78">
    <cfRule type="expression" dxfId="5" priority="6749">
      <formula>AJ78="探"</formula>
    </cfRule>
    <cfRule type="expression" dxfId="4" priority="6750">
      <formula>AJ78="年"</formula>
    </cfRule>
    <cfRule type="expression" dxfId="3" priority="6751">
      <formula>AJ78="事"</formula>
    </cfRule>
    <cfRule type="expression" dxfId="2" priority="6752">
      <formula>AJ78="病"</formula>
    </cfRule>
  </conditionalFormatting>
  <conditionalFormatting sqref="AK78">
    <cfRule type="expression" dxfId="5" priority="6765">
      <formula>AK78="探"</formula>
    </cfRule>
    <cfRule type="expression" dxfId="4" priority="6766">
      <formula>AK78="年"</formula>
    </cfRule>
    <cfRule type="expression" dxfId="3" priority="6767">
      <formula>AK78="事"</formula>
    </cfRule>
    <cfRule type="expression" dxfId="2" priority="6768">
      <formula>AK78="病"</formula>
    </cfRule>
  </conditionalFormatting>
  <conditionalFormatting sqref="Y79">
    <cfRule type="expression" dxfId="5" priority="8013">
      <formula>Y79="探"</formula>
    </cfRule>
    <cfRule type="expression" dxfId="4" priority="8014">
      <formula>Y79="年"</formula>
    </cfRule>
    <cfRule type="expression" dxfId="3" priority="8015">
      <formula>Y79="事"</formula>
    </cfRule>
    <cfRule type="expression" dxfId="2" priority="8016">
      <formula>Y79="病"</formula>
    </cfRule>
  </conditionalFormatting>
  <conditionalFormatting sqref="AF79:AK79">
    <cfRule type="expression" dxfId="5" priority="8009">
      <formula>AF79="探"</formula>
    </cfRule>
    <cfRule type="expression" dxfId="4" priority="8010">
      <formula>AF79="年"</formula>
    </cfRule>
    <cfRule type="expression" dxfId="3" priority="8011">
      <formula>AF79="事"</formula>
    </cfRule>
    <cfRule type="expression" dxfId="2" priority="8012">
      <formula>AF79="病"</formula>
    </cfRule>
  </conditionalFormatting>
  <conditionalFormatting sqref="Y80:Z80">
    <cfRule type="expression" dxfId="5" priority="7997">
      <formula>Y80="探"</formula>
    </cfRule>
    <cfRule type="expression" dxfId="4" priority="7998">
      <formula>Y80="年"</formula>
    </cfRule>
    <cfRule type="expression" dxfId="3" priority="7999">
      <formula>Y80="事"</formula>
    </cfRule>
    <cfRule type="expression" dxfId="2" priority="8000">
      <formula>Y80="病"</formula>
    </cfRule>
  </conditionalFormatting>
  <conditionalFormatting sqref="AA80">
    <cfRule type="expression" dxfId="5" priority="8001">
      <formula>AA80="探"</formula>
    </cfRule>
    <cfRule type="expression" dxfId="4" priority="8002">
      <formula>AA80="年"</formula>
    </cfRule>
    <cfRule type="expression" dxfId="3" priority="8003">
      <formula>AA80="事"</formula>
    </cfRule>
    <cfRule type="expression" dxfId="2" priority="8004">
      <formula>AA80="病"</formula>
    </cfRule>
  </conditionalFormatting>
  <conditionalFormatting sqref="AB80">
    <cfRule type="expression" dxfId="2" priority="1684">
      <formula>AB80="病"</formula>
    </cfRule>
    <cfRule type="expression" dxfId="3" priority="1683">
      <formula>AB80="事"</formula>
    </cfRule>
    <cfRule type="expression" dxfId="4" priority="1682">
      <formula>AB80="年"</formula>
    </cfRule>
    <cfRule type="expression" dxfId="5" priority="1681">
      <formula>AB80="探"</formula>
    </cfRule>
  </conditionalFormatting>
  <conditionalFormatting sqref="AC80:AD80">
    <cfRule type="expression" dxfId="2" priority="1688">
      <formula>AC80="病"</formula>
    </cfRule>
    <cfRule type="expression" dxfId="3" priority="1687">
      <formula>AC80="事"</formula>
    </cfRule>
    <cfRule type="expression" dxfId="4" priority="1686">
      <formula>AC80="年"</formula>
    </cfRule>
    <cfRule type="expression" dxfId="5" priority="1685">
      <formula>AC80="探"</formula>
    </cfRule>
  </conditionalFormatting>
  <conditionalFormatting sqref="AE80">
    <cfRule type="expression" dxfId="2" priority="1692">
      <formula>AE80="病"</formula>
    </cfRule>
    <cfRule type="expression" dxfId="3" priority="1691">
      <formula>AE80="事"</formula>
    </cfRule>
    <cfRule type="expression" dxfId="4" priority="1690">
      <formula>AE80="年"</formula>
    </cfRule>
    <cfRule type="expression" dxfId="5" priority="1689">
      <formula>AE80="探"</formula>
    </cfRule>
  </conditionalFormatting>
  <conditionalFormatting sqref="AF80">
    <cfRule type="expression" dxfId="2" priority="544">
      <formula>AF80="病"</formula>
    </cfRule>
    <cfRule type="expression" dxfId="3" priority="543">
      <formula>AF80="事"</formula>
    </cfRule>
    <cfRule type="expression" dxfId="4" priority="542">
      <formula>AF80="年"</formula>
    </cfRule>
    <cfRule type="expression" dxfId="5" priority="541">
      <formula>AF80="探"</formula>
    </cfRule>
  </conditionalFormatting>
  <conditionalFormatting sqref="AG80:AH80">
    <cfRule type="expression" dxfId="2" priority="548">
      <formula>AG80="病"</formula>
    </cfRule>
    <cfRule type="expression" dxfId="3" priority="547">
      <formula>AG80="事"</formula>
    </cfRule>
    <cfRule type="expression" dxfId="4" priority="546">
      <formula>AG80="年"</formula>
    </cfRule>
    <cfRule type="expression" dxfId="5" priority="545">
      <formula>AG80="探"</formula>
    </cfRule>
  </conditionalFormatting>
  <conditionalFormatting sqref="AI80">
    <cfRule type="expression" dxfId="2" priority="552">
      <formula>AI80="病"</formula>
    </cfRule>
    <cfRule type="expression" dxfId="3" priority="551">
      <formula>AI80="事"</formula>
    </cfRule>
    <cfRule type="expression" dxfId="4" priority="550">
      <formula>AI80="年"</formula>
    </cfRule>
    <cfRule type="expression" dxfId="5" priority="549">
      <formula>AI80="探"</formula>
    </cfRule>
  </conditionalFormatting>
  <conditionalFormatting sqref="AJ80">
    <cfRule type="expression" dxfId="2" priority="536">
      <formula>AJ80="病"</formula>
    </cfRule>
    <cfRule type="expression" dxfId="3" priority="535">
      <formula>AJ80="事"</formula>
    </cfRule>
    <cfRule type="expression" dxfId="4" priority="534">
      <formula>AJ80="年"</formula>
    </cfRule>
    <cfRule type="expression" dxfId="5" priority="533">
      <formula>AJ80="探"</formula>
    </cfRule>
  </conditionalFormatting>
  <conditionalFormatting sqref="AK80">
    <cfRule type="expression" dxfId="2" priority="540">
      <formula>AK80="病"</formula>
    </cfRule>
    <cfRule type="expression" dxfId="3" priority="539">
      <formula>AK80="事"</formula>
    </cfRule>
    <cfRule type="expression" dxfId="4" priority="538">
      <formula>AK80="年"</formula>
    </cfRule>
    <cfRule type="expression" dxfId="5" priority="537">
      <formula>AK80="探"</formula>
    </cfRule>
  </conditionalFormatting>
  <conditionalFormatting sqref="G81:K81">
    <cfRule type="expression" dxfId="5" priority="6253">
      <formula>G81="探"</formula>
    </cfRule>
    <cfRule type="expression" dxfId="4" priority="6254">
      <formula>G81="年"</formula>
    </cfRule>
    <cfRule type="expression" dxfId="3" priority="6255">
      <formula>G81="事"</formula>
    </cfRule>
    <cfRule type="expression" dxfId="2" priority="6256">
      <formula>G81="病"</formula>
    </cfRule>
  </conditionalFormatting>
  <conditionalFormatting sqref="L81:O81">
    <cfRule type="expression" dxfId="5" priority="5593">
      <formula>L81="探"</formula>
    </cfRule>
    <cfRule type="expression" dxfId="4" priority="5594">
      <formula>L81="年"</formula>
    </cfRule>
    <cfRule type="expression" dxfId="3" priority="5595">
      <formula>L81="事"</formula>
    </cfRule>
    <cfRule type="expression" dxfId="2" priority="5596">
      <formula>L81="病"</formula>
    </cfRule>
  </conditionalFormatting>
  <conditionalFormatting sqref="P81:S81">
    <cfRule type="expression" dxfId="5" priority="3893">
      <formula>P81="探"</formula>
    </cfRule>
    <cfRule type="expression" dxfId="4" priority="3894">
      <formula>P81="年"</formula>
    </cfRule>
    <cfRule type="expression" dxfId="3" priority="3895">
      <formula>P81="事"</formula>
    </cfRule>
    <cfRule type="expression" dxfId="2" priority="3896">
      <formula>P81="病"</formula>
    </cfRule>
  </conditionalFormatting>
  <conditionalFormatting sqref="T81:W81">
    <cfRule type="expression" dxfId="5" priority="3889">
      <formula>T81="探"</formula>
    </cfRule>
    <cfRule type="expression" dxfId="4" priority="3890">
      <formula>T81="年"</formula>
    </cfRule>
    <cfRule type="expression" dxfId="3" priority="3891">
      <formula>T81="事"</formula>
    </cfRule>
    <cfRule type="expression" dxfId="2" priority="3892">
      <formula>T81="病"</formula>
    </cfRule>
  </conditionalFormatting>
  <conditionalFormatting sqref="G82:H82">
    <cfRule type="expression" dxfId="5" priority="8805">
      <formula>G82="探"</formula>
    </cfRule>
    <cfRule type="expression" dxfId="4" priority="8806">
      <formula>G82="年"</formula>
    </cfRule>
    <cfRule type="expression" dxfId="3" priority="8807">
      <formula>G82="事"</formula>
    </cfRule>
    <cfRule type="expression" dxfId="2" priority="8808">
      <formula>G82="病"</formula>
    </cfRule>
  </conditionalFormatting>
  <conditionalFormatting sqref="I82:L82">
    <cfRule type="expression" dxfId="5" priority="8809">
      <formula>I82="探"</formula>
    </cfRule>
    <cfRule type="expression" dxfId="4" priority="8810">
      <formula>I82="年"</formula>
    </cfRule>
    <cfRule type="expression" dxfId="3" priority="8811">
      <formula>I82="事"</formula>
    </cfRule>
    <cfRule type="expression" dxfId="2" priority="8812">
      <formula>I82="病"</formula>
    </cfRule>
  </conditionalFormatting>
  <conditionalFormatting sqref="O82">
    <cfRule type="expression" dxfId="5" priority="3873">
      <formula>O82="探"</formula>
    </cfRule>
    <cfRule type="expression" dxfId="4" priority="3874">
      <formula>O82="年"</formula>
    </cfRule>
    <cfRule type="expression" dxfId="3" priority="3875">
      <formula>O82="事"</formula>
    </cfRule>
    <cfRule type="expression" dxfId="2" priority="3876">
      <formula>O82="病"</formula>
    </cfRule>
  </conditionalFormatting>
  <conditionalFormatting sqref="Q82:S82">
    <cfRule type="expression" dxfId="5" priority="3877">
      <formula>Q82="探"</formula>
    </cfRule>
    <cfRule type="expression" dxfId="4" priority="3878">
      <formula>Q82="年"</formula>
    </cfRule>
    <cfRule type="expression" dxfId="3" priority="3879">
      <formula>Q82="事"</formula>
    </cfRule>
    <cfRule type="expression" dxfId="2" priority="3880">
      <formula>Q82="病"</formula>
    </cfRule>
  </conditionalFormatting>
  <conditionalFormatting sqref="T82:V82">
    <cfRule type="expression" dxfId="5" priority="3881">
      <formula>T82="探"</formula>
    </cfRule>
    <cfRule type="expression" dxfId="4" priority="3882">
      <formula>T82="年"</formula>
    </cfRule>
    <cfRule type="expression" dxfId="3" priority="3883">
      <formula>T82="事"</formula>
    </cfRule>
    <cfRule type="expression" dxfId="2" priority="3884">
      <formula>T82="病"</formula>
    </cfRule>
  </conditionalFormatting>
  <conditionalFormatting sqref="W82:Y82">
    <cfRule type="expression" dxfId="5" priority="3885">
      <formula>W82="探"</formula>
    </cfRule>
    <cfRule type="expression" dxfId="4" priority="3886">
      <formula>W82="年"</formula>
    </cfRule>
    <cfRule type="expression" dxfId="3" priority="3887">
      <formula>W82="事"</formula>
    </cfRule>
    <cfRule type="expression" dxfId="2" priority="3888">
      <formula>W82="病"</formula>
    </cfRule>
  </conditionalFormatting>
  <conditionalFormatting sqref="Z82:AE82">
    <cfRule type="expression" dxfId="5" priority="8393">
      <formula>Z82="探"</formula>
    </cfRule>
    <cfRule type="expression" dxfId="4" priority="8394">
      <formula>Z82="年"</formula>
    </cfRule>
    <cfRule type="expression" dxfId="3" priority="8395">
      <formula>Z82="事"</formula>
    </cfRule>
    <cfRule type="expression" dxfId="2" priority="8396">
      <formula>Z82="病"</formula>
    </cfRule>
  </conditionalFormatting>
  <conditionalFormatting sqref="AF82:AH82">
    <cfRule type="expression" dxfId="2" priority="532">
      <formula>AF82="病"</formula>
    </cfRule>
    <cfRule type="expression" dxfId="3" priority="531">
      <formula>AF82="事"</formula>
    </cfRule>
    <cfRule type="expression" dxfId="4" priority="530">
      <formula>AF82="年"</formula>
    </cfRule>
    <cfRule type="expression" dxfId="5" priority="529">
      <formula>AF82="探"</formula>
    </cfRule>
  </conditionalFormatting>
  <conditionalFormatting sqref="G83:H83">
    <cfRule type="expression" dxfId="5" priority="8869">
      <formula>G83="探"</formula>
    </cfRule>
    <cfRule type="expression" dxfId="4" priority="8870">
      <formula>G83="年"</formula>
    </cfRule>
    <cfRule type="expression" dxfId="3" priority="8871">
      <formula>G83="事"</formula>
    </cfRule>
    <cfRule type="expression" dxfId="2" priority="8872">
      <formula>G83="病"</formula>
    </cfRule>
  </conditionalFormatting>
  <conditionalFormatting sqref="I83:M83">
    <cfRule type="expression" dxfId="5" priority="8865">
      <formula>I83="探"</formula>
    </cfRule>
    <cfRule type="expression" dxfId="4" priority="8866">
      <formula>I83="年"</formula>
    </cfRule>
    <cfRule type="expression" dxfId="3" priority="8867">
      <formula>I83="事"</formula>
    </cfRule>
    <cfRule type="expression" dxfId="2" priority="8868">
      <formula>I83="病"</formula>
    </cfRule>
  </conditionalFormatting>
  <conditionalFormatting sqref="N83:X83">
    <cfRule type="expression" dxfId="5" priority="5589">
      <formula>N83="探"</formula>
    </cfRule>
    <cfRule type="expression" dxfId="4" priority="5590">
      <formula>N83="年"</formula>
    </cfRule>
    <cfRule type="expression" dxfId="3" priority="5591">
      <formula>N83="事"</formula>
    </cfRule>
    <cfRule type="expression" dxfId="2" priority="5592">
      <formula>N83="病"</formula>
    </cfRule>
  </conditionalFormatting>
  <conditionalFormatting sqref="Z83:AA83">
    <cfRule type="expression" dxfId="2" priority="1676">
      <formula>Z83="病"</formula>
    </cfRule>
    <cfRule type="expression" dxfId="3" priority="1675">
      <formula>Z83="事"</formula>
    </cfRule>
    <cfRule type="expression" dxfId="4" priority="1674">
      <formula>Z83="年"</formula>
    </cfRule>
    <cfRule type="expression" dxfId="5" priority="1673">
      <formula>Z83="探"</formula>
    </cfRule>
  </conditionalFormatting>
  <conditionalFormatting sqref="AB83">
    <cfRule type="expression" dxfId="2" priority="1680">
      <formula>AB83="病"</formula>
    </cfRule>
    <cfRule type="expression" dxfId="3" priority="1679">
      <formula>AB83="事"</formula>
    </cfRule>
    <cfRule type="expression" dxfId="4" priority="1678">
      <formula>AB83="年"</formula>
    </cfRule>
    <cfRule type="expression" dxfId="5" priority="1677">
      <formula>AB83="探"</formula>
    </cfRule>
  </conditionalFormatting>
  <conditionalFormatting sqref="AC83:AD83">
    <cfRule type="expression" dxfId="2" priority="1668">
      <formula>AC83="病"</formula>
    </cfRule>
    <cfRule type="expression" dxfId="3" priority="1667">
      <formula>AC83="事"</formula>
    </cfRule>
    <cfRule type="expression" dxfId="4" priority="1666">
      <formula>AC83="年"</formula>
    </cfRule>
    <cfRule type="expression" dxfId="5" priority="1665">
      <formula>AC83="探"</formula>
    </cfRule>
  </conditionalFormatting>
  <conditionalFormatting sqref="AE83:AF83">
    <cfRule type="expression" dxfId="2" priority="1672">
      <formula>AE83="病"</formula>
    </cfRule>
    <cfRule type="expression" dxfId="3" priority="1671">
      <formula>AE83="事"</formula>
    </cfRule>
    <cfRule type="expression" dxfId="4" priority="1670">
      <formula>AE83="年"</formula>
    </cfRule>
    <cfRule type="expression" dxfId="5" priority="1669">
      <formula>AE83="探"</formula>
    </cfRule>
  </conditionalFormatting>
  <conditionalFormatting sqref="G84:H84">
    <cfRule type="expression" dxfId="5" priority="6245">
      <formula>G84="探"</formula>
    </cfRule>
    <cfRule type="expression" dxfId="4" priority="6246">
      <formula>G84="年"</formula>
    </cfRule>
    <cfRule type="expression" dxfId="3" priority="6247">
      <formula>G84="事"</formula>
    </cfRule>
    <cfRule type="expression" dxfId="2" priority="6248">
      <formula>G84="病"</formula>
    </cfRule>
  </conditionalFormatting>
  <conditionalFormatting sqref="I84:J84">
    <cfRule type="expression" dxfId="5" priority="6249">
      <formula>I84="探"</formula>
    </cfRule>
    <cfRule type="expression" dxfId="4" priority="6250">
      <formula>I84="年"</formula>
    </cfRule>
    <cfRule type="expression" dxfId="3" priority="6251">
      <formula>I84="事"</formula>
    </cfRule>
    <cfRule type="expression" dxfId="2" priority="6252">
      <formula>I84="病"</formula>
    </cfRule>
  </conditionalFormatting>
  <conditionalFormatting sqref="M84">
    <cfRule type="expression" dxfId="5" priority="8609">
      <formula>M84="探"</formula>
    </cfRule>
    <cfRule type="expression" dxfId="4" priority="8610">
      <formula>M84="年"</formula>
    </cfRule>
    <cfRule type="expression" dxfId="3" priority="8611">
      <formula>M84="事"</formula>
    </cfRule>
    <cfRule type="expression" dxfId="2" priority="8612">
      <formula>M84="病"</formula>
    </cfRule>
  </conditionalFormatting>
  <conditionalFormatting sqref="N84:U84">
    <cfRule type="expression" dxfId="5" priority="8605">
      <formula>N84="探"</formula>
    </cfRule>
    <cfRule type="expression" dxfId="4" priority="8606">
      <formula>N84="年"</formula>
    </cfRule>
    <cfRule type="expression" dxfId="3" priority="8607">
      <formula>N84="事"</formula>
    </cfRule>
    <cfRule type="expression" dxfId="2" priority="8608">
      <formula>N84="病"</formula>
    </cfRule>
  </conditionalFormatting>
  <conditionalFormatting sqref="W84">
    <cfRule type="expression" dxfId="5" priority="3865">
      <formula>W84="探"</formula>
    </cfRule>
    <cfRule type="expression" dxfId="4" priority="3866">
      <formula>W84="年"</formula>
    </cfRule>
    <cfRule type="expression" dxfId="3" priority="3867">
      <formula>W84="事"</formula>
    </cfRule>
    <cfRule type="expression" dxfId="2" priority="3868">
      <formula>W84="病"</formula>
    </cfRule>
  </conditionalFormatting>
  <conditionalFormatting sqref="X84">
    <cfRule type="expression" dxfId="5" priority="3869">
      <formula>X84="探"</formula>
    </cfRule>
    <cfRule type="expression" dxfId="4" priority="3870">
      <formula>X84="年"</formula>
    </cfRule>
    <cfRule type="expression" dxfId="3" priority="3871">
      <formula>X84="事"</formula>
    </cfRule>
    <cfRule type="expression" dxfId="2" priority="3872">
      <formula>X84="病"</formula>
    </cfRule>
  </conditionalFormatting>
  <conditionalFormatting sqref="Z84">
    <cfRule type="expression" dxfId="2" priority="1656">
      <formula>Z84="病"</formula>
    </cfRule>
    <cfRule type="expression" dxfId="3" priority="1655">
      <formula>Z84="事"</formula>
    </cfRule>
    <cfRule type="expression" dxfId="4" priority="1654">
      <formula>Z84="年"</formula>
    </cfRule>
    <cfRule type="expression" dxfId="5" priority="1653">
      <formula>Z84="探"</formula>
    </cfRule>
  </conditionalFormatting>
  <conditionalFormatting sqref="AA84">
    <cfRule type="expression" dxfId="2" priority="1660">
      <formula>AA84="病"</formula>
    </cfRule>
    <cfRule type="expression" dxfId="3" priority="1659">
      <formula>AA84="事"</formula>
    </cfRule>
    <cfRule type="expression" dxfId="4" priority="1658">
      <formula>AA84="年"</formula>
    </cfRule>
    <cfRule type="expression" dxfId="5" priority="1657">
      <formula>AA84="探"</formula>
    </cfRule>
  </conditionalFormatting>
  <conditionalFormatting sqref="AB84">
    <cfRule type="expression" dxfId="2" priority="1664">
      <formula>AB84="病"</formula>
    </cfRule>
    <cfRule type="expression" dxfId="3" priority="1663">
      <formula>AB84="事"</formula>
    </cfRule>
    <cfRule type="expression" dxfId="4" priority="1662">
      <formula>AB84="年"</formula>
    </cfRule>
    <cfRule type="expression" dxfId="5" priority="1661">
      <formula>AB84="探"</formula>
    </cfRule>
  </conditionalFormatting>
  <conditionalFormatting sqref="AC84">
    <cfRule type="expression" dxfId="2" priority="1644">
      <formula>AC84="病"</formula>
    </cfRule>
    <cfRule type="expression" dxfId="3" priority="1643">
      <formula>AC84="事"</formula>
    </cfRule>
    <cfRule type="expression" dxfId="4" priority="1642">
      <formula>AC84="年"</formula>
    </cfRule>
    <cfRule type="expression" dxfId="5" priority="1641">
      <formula>AC84="探"</formula>
    </cfRule>
  </conditionalFormatting>
  <conditionalFormatting sqref="AD84">
    <cfRule type="expression" dxfId="2" priority="1648">
      <formula>AD84="病"</formula>
    </cfRule>
    <cfRule type="expression" dxfId="3" priority="1647">
      <formula>AD84="事"</formula>
    </cfRule>
    <cfRule type="expression" dxfId="4" priority="1646">
      <formula>AD84="年"</formula>
    </cfRule>
    <cfRule type="expression" dxfId="5" priority="1645">
      <formula>AD84="探"</formula>
    </cfRule>
  </conditionalFormatting>
  <conditionalFormatting sqref="AE84">
    <cfRule type="expression" dxfId="2" priority="1652">
      <formula>AE84="病"</formula>
    </cfRule>
    <cfRule type="expression" dxfId="3" priority="1651">
      <formula>AE84="事"</formula>
    </cfRule>
    <cfRule type="expression" dxfId="4" priority="1650">
      <formula>AE84="年"</formula>
    </cfRule>
    <cfRule type="expression" dxfId="5" priority="1649">
      <formula>AE84="探"</formula>
    </cfRule>
  </conditionalFormatting>
  <conditionalFormatting sqref="AF84">
    <cfRule type="expression" dxfId="2" priority="520">
      <formula>AF84="病"</formula>
    </cfRule>
    <cfRule type="expression" dxfId="3" priority="519">
      <formula>AF84="事"</formula>
    </cfRule>
    <cfRule type="expression" dxfId="4" priority="518">
      <formula>AF84="年"</formula>
    </cfRule>
    <cfRule type="expression" dxfId="5" priority="517">
      <formula>AF84="探"</formula>
    </cfRule>
  </conditionalFormatting>
  <conditionalFormatting sqref="AG84">
    <cfRule type="expression" dxfId="2" priority="524">
      <formula>AG84="病"</formula>
    </cfRule>
    <cfRule type="expression" dxfId="3" priority="523">
      <formula>AG84="事"</formula>
    </cfRule>
    <cfRule type="expression" dxfId="4" priority="522">
      <formula>AG84="年"</formula>
    </cfRule>
    <cfRule type="expression" dxfId="5" priority="521">
      <formula>AG84="探"</formula>
    </cfRule>
  </conditionalFormatting>
  <conditionalFormatting sqref="AH84">
    <cfRule type="expression" dxfId="2" priority="528">
      <formula>AH84="病"</formula>
    </cfRule>
    <cfRule type="expression" dxfId="3" priority="527">
      <formula>AH84="事"</formula>
    </cfRule>
    <cfRule type="expression" dxfId="4" priority="526">
      <formula>AH84="年"</formula>
    </cfRule>
    <cfRule type="expression" dxfId="5" priority="525">
      <formula>AH84="探"</formula>
    </cfRule>
  </conditionalFormatting>
  <conditionalFormatting sqref="AK84">
    <cfRule type="expression" dxfId="5" priority="8833">
      <formula>AK84="探"</formula>
    </cfRule>
    <cfRule type="expression" dxfId="4" priority="8834">
      <formula>AK84="年"</formula>
    </cfRule>
    <cfRule type="expression" dxfId="3" priority="8835">
      <formula>AK84="事"</formula>
    </cfRule>
    <cfRule type="expression" dxfId="2" priority="8836">
      <formula>AK84="病"</formula>
    </cfRule>
  </conditionalFormatting>
  <conditionalFormatting sqref="G85:H85">
    <cfRule type="expression" dxfId="5" priority="6241">
      <formula>G85="探"</formula>
    </cfRule>
    <cfRule type="expression" dxfId="4" priority="6242">
      <formula>G85="年"</formula>
    </cfRule>
    <cfRule type="expression" dxfId="3" priority="6243">
      <formula>G85="事"</formula>
    </cfRule>
    <cfRule type="expression" dxfId="2" priority="6244">
      <formula>G85="病"</formula>
    </cfRule>
  </conditionalFormatting>
  <conditionalFormatting sqref="I85:M85">
    <cfRule type="expression" dxfId="5" priority="6237">
      <formula>I85="探"</formula>
    </cfRule>
    <cfRule type="expression" dxfId="4" priority="6238">
      <formula>I85="年"</formula>
    </cfRule>
    <cfRule type="expression" dxfId="3" priority="6239">
      <formula>I85="事"</formula>
    </cfRule>
    <cfRule type="expression" dxfId="2" priority="6240">
      <formula>I85="病"</formula>
    </cfRule>
  </conditionalFormatting>
  <conditionalFormatting sqref="N85:X85">
    <cfRule type="expression" dxfId="5" priority="5585">
      <formula>N85="探"</formula>
    </cfRule>
    <cfRule type="expression" dxfId="4" priority="5586">
      <formula>N85="年"</formula>
    </cfRule>
    <cfRule type="expression" dxfId="3" priority="5587">
      <formula>N85="事"</formula>
    </cfRule>
    <cfRule type="expression" dxfId="2" priority="5588">
      <formula>N85="病"</formula>
    </cfRule>
  </conditionalFormatting>
  <conditionalFormatting sqref="AH85:AI85">
    <cfRule type="expression" dxfId="2" priority="516">
      <formula>AH85="病"</formula>
    </cfRule>
    <cfRule type="expression" dxfId="3" priority="515">
      <formula>AH85="事"</formula>
    </cfRule>
    <cfRule type="expression" dxfId="4" priority="514">
      <formula>AH85="年"</formula>
    </cfRule>
    <cfRule type="expression" dxfId="5" priority="513">
      <formula>AH85="探"</formula>
    </cfRule>
  </conditionalFormatting>
  <conditionalFormatting sqref="G86:H86">
    <cfRule type="expression" dxfId="5" priority="6233">
      <formula>G86="探"</formula>
    </cfRule>
    <cfRule type="expression" dxfId="4" priority="6234">
      <formula>G86="年"</formula>
    </cfRule>
    <cfRule type="expression" dxfId="3" priority="6235">
      <formula>G86="事"</formula>
    </cfRule>
    <cfRule type="expression" dxfId="2" priority="6236">
      <formula>G86="病"</formula>
    </cfRule>
  </conditionalFormatting>
  <conditionalFormatting sqref="I86:J86">
    <cfRule type="expression" dxfId="5" priority="6229">
      <formula>I86="探"</formula>
    </cfRule>
    <cfRule type="expression" dxfId="4" priority="6230">
      <formula>I86="年"</formula>
    </cfRule>
    <cfRule type="expression" dxfId="3" priority="6231">
      <formula>I86="事"</formula>
    </cfRule>
    <cfRule type="expression" dxfId="2" priority="6232">
      <formula>I86="病"</formula>
    </cfRule>
  </conditionalFormatting>
  <conditionalFormatting sqref="K86">
    <cfRule type="expression" dxfId="5" priority="5581">
      <formula>K86="探"</formula>
    </cfRule>
    <cfRule type="expression" dxfId="4" priority="5582">
      <formula>K86="年"</formula>
    </cfRule>
    <cfRule type="expression" dxfId="3" priority="5583">
      <formula>K86="事"</formula>
    </cfRule>
    <cfRule type="expression" dxfId="2" priority="5584">
      <formula>K86="病"</formula>
    </cfRule>
  </conditionalFormatting>
  <conditionalFormatting sqref="L86:M86">
    <cfRule type="expression" dxfId="5" priority="5577">
      <formula>L86="探"</formula>
    </cfRule>
    <cfRule type="expression" dxfId="4" priority="5578">
      <formula>L86="年"</formula>
    </cfRule>
    <cfRule type="expression" dxfId="3" priority="5579">
      <formula>L86="事"</formula>
    </cfRule>
    <cfRule type="expression" dxfId="2" priority="5580">
      <formula>L86="病"</formula>
    </cfRule>
  </conditionalFormatting>
  <conditionalFormatting sqref="N86">
    <cfRule type="expression" dxfId="5" priority="5573">
      <formula>N86="探"</formula>
    </cfRule>
    <cfRule type="expression" dxfId="4" priority="5574">
      <formula>N86="年"</formula>
    </cfRule>
    <cfRule type="expression" dxfId="3" priority="5575">
      <formula>N86="事"</formula>
    </cfRule>
    <cfRule type="expression" dxfId="2" priority="5576">
      <formula>N86="病"</formula>
    </cfRule>
  </conditionalFormatting>
  <conditionalFormatting sqref="O86:P86">
    <cfRule type="expression" dxfId="5" priority="5569">
      <formula>O86="探"</formula>
    </cfRule>
    <cfRule type="expression" dxfId="4" priority="5570">
      <formula>O86="年"</formula>
    </cfRule>
    <cfRule type="expression" dxfId="3" priority="5571">
      <formula>O86="事"</formula>
    </cfRule>
    <cfRule type="expression" dxfId="2" priority="5572">
      <formula>O86="病"</formula>
    </cfRule>
  </conditionalFormatting>
  <conditionalFormatting sqref="Q86">
    <cfRule type="expression" dxfId="5" priority="3861">
      <formula>Q86="探"</formula>
    </cfRule>
    <cfRule type="expression" dxfId="4" priority="3862">
      <formula>Q86="年"</formula>
    </cfRule>
    <cfRule type="expression" dxfId="3" priority="3863">
      <formula>Q86="事"</formula>
    </cfRule>
    <cfRule type="expression" dxfId="2" priority="3864">
      <formula>Q86="病"</formula>
    </cfRule>
  </conditionalFormatting>
  <conditionalFormatting sqref="R86:S86">
    <cfRule type="expression" dxfId="5" priority="3857">
      <formula>R86="探"</formula>
    </cfRule>
    <cfRule type="expression" dxfId="4" priority="3858">
      <formula>R86="年"</formula>
    </cfRule>
    <cfRule type="expression" dxfId="3" priority="3859">
      <formula>R86="事"</formula>
    </cfRule>
    <cfRule type="expression" dxfId="2" priority="3860">
      <formula>R86="病"</formula>
    </cfRule>
  </conditionalFormatting>
  <conditionalFormatting sqref="T86">
    <cfRule type="expression" dxfId="5" priority="3853">
      <formula>T86="探"</formula>
    </cfRule>
    <cfRule type="expression" dxfId="4" priority="3854">
      <formula>T86="年"</formula>
    </cfRule>
    <cfRule type="expression" dxfId="3" priority="3855">
      <formula>T86="事"</formula>
    </cfRule>
    <cfRule type="expression" dxfId="2" priority="3856">
      <formula>T86="病"</formula>
    </cfRule>
  </conditionalFormatting>
  <conditionalFormatting sqref="U86:V86">
    <cfRule type="expression" dxfId="5" priority="3849">
      <formula>U86="探"</formula>
    </cfRule>
    <cfRule type="expression" dxfId="4" priority="3850">
      <formula>U86="年"</formula>
    </cfRule>
    <cfRule type="expression" dxfId="3" priority="3851">
      <formula>U86="事"</formula>
    </cfRule>
    <cfRule type="expression" dxfId="2" priority="3852">
      <formula>U86="病"</formula>
    </cfRule>
  </conditionalFormatting>
  <conditionalFormatting sqref="W86">
    <cfRule type="expression" dxfId="5" priority="3845">
      <formula>W86="探"</formula>
    </cfRule>
    <cfRule type="expression" dxfId="4" priority="3846">
      <formula>W86="年"</formula>
    </cfRule>
    <cfRule type="expression" dxfId="3" priority="3847">
      <formula>W86="事"</formula>
    </cfRule>
    <cfRule type="expression" dxfId="2" priority="3848">
      <formula>W86="病"</formula>
    </cfRule>
  </conditionalFormatting>
  <conditionalFormatting sqref="Z86:AA86">
    <cfRule type="expression" dxfId="5" priority="7309">
      <formula>Z86="探"</formula>
    </cfRule>
    <cfRule type="expression" dxfId="4" priority="7310">
      <formula>Z86="年"</formula>
    </cfRule>
    <cfRule type="expression" dxfId="3" priority="7311">
      <formula>Z86="事"</formula>
    </cfRule>
    <cfRule type="expression" dxfId="2" priority="7312">
      <formula>Z86="病"</formula>
    </cfRule>
  </conditionalFormatting>
  <conditionalFormatting sqref="AB86:AC86">
    <cfRule type="expression" dxfId="5" priority="7305">
      <formula>AB86="探"</formula>
    </cfRule>
    <cfRule type="expression" dxfId="4" priority="7306">
      <formula>AB86="年"</formula>
    </cfRule>
    <cfRule type="expression" dxfId="3" priority="7307">
      <formula>AB86="事"</formula>
    </cfRule>
    <cfRule type="expression" dxfId="2" priority="7308">
      <formula>AB86="病"</formula>
    </cfRule>
  </conditionalFormatting>
  <conditionalFormatting sqref="AD86">
    <cfRule type="expression" dxfId="5" priority="7301">
      <formula>AD86="探"</formula>
    </cfRule>
    <cfRule type="expression" dxfId="4" priority="7302">
      <formula>AD86="年"</formula>
    </cfRule>
    <cfRule type="expression" dxfId="3" priority="7303">
      <formula>AD86="事"</formula>
    </cfRule>
    <cfRule type="expression" dxfId="2" priority="7304">
      <formula>AD86="病"</formula>
    </cfRule>
  </conditionalFormatting>
  <conditionalFormatting sqref="O87">
    <cfRule type="expression" dxfId="5" priority="5565">
      <formula>O87="探"</formula>
    </cfRule>
    <cfRule type="expression" dxfId="4" priority="5566">
      <formula>O87="年"</formula>
    </cfRule>
    <cfRule type="expression" dxfId="3" priority="5567">
      <formula>O87="事"</formula>
    </cfRule>
    <cfRule type="expression" dxfId="2" priority="5568">
      <formula>O87="病"</formula>
    </cfRule>
  </conditionalFormatting>
  <conditionalFormatting sqref="P87">
    <cfRule type="expression" dxfId="5" priority="5561">
      <formula>P87="探"</formula>
    </cfRule>
    <cfRule type="expression" dxfId="4" priority="5562">
      <formula>P87="年"</formula>
    </cfRule>
    <cfRule type="expression" dxfId="3" priority="5563">
      <formula>P87="事"</formula>
    </cfRule>
    <cfRule type="expression" dxfId="2" priority="5564">
      <formula>P87="病"</formula>
    </cfRule>
  </conditionalFormatting>
  <conditionalFormatting sqref="R87">
    <cfRule type="expression" dxfId="5" priority="3833">
      <formula>R87="探"</formula>
    </cfRule>
    <cfRule type="expression" dxfId="4" priority="3834">
      <formula>R87="年"</formula>
    </cfRule>
    <cfRule type="expression" dxfId="3" priority="3835">
      <formula>R87="事"</formula>
    </cfRule>
    <cfRule type="expression" dxfId="2" priority="3836">
      <formula>R87="病"</formula>
    </cfRule>
  </conditionalFormatting>
  <conditionalFormatting sqref="S87">
    <cfRule type="expression" dxfId="5" priority="3829">
      <formula>S87="探"</formula>
    </cfRule>
    <cfRule type="expression" dxfId="4" priority="3830">
      <formula>S87="年"</formula>
    </cfRule>
    <cfRule type="expression" dxfId="3" priority="3831">
      <formula>S87="事"</formula>
    </cfRule>
    <cfRule type="expression" dxfId="2" priority="3832">
      <formula>S87="病"</formula>
    </cfRule>
  </conditionalFormatting>
  <conditionalFormatting sqref="T87">
    <cfRule type="expression" dxfId="5" priority="3837">
      <formula>T87="探"</formula>
    </cfRule>
    <cfRule type="expression" dxfId="4" priority="3838">
      <formula>T87="年"</formula>
    </cfRule>
    <cfRule type="expression" dxfId="3" priority="3839">
      <formula>T87="事"</formula>
    </cfRule>
    <cfRule type="expression" dxfId="2" priority="3840">
      <formula>T87="病"</formula>
    </cfRule>
  </conditionalFormatting>
  <conditionalFormatting sqref="U87">
    <cfRule type="expression" dxfId="5" priority="3821">
      <formula>U87="探"</formula>
    </cfRule>
    <cfRule type="expression" dxfId="4" priority="3822">
      <formula>U87="年"</formula>
    </cfRule>
    <cfRule type="expression" dxfId="3" priority="3823">
      <formula>U87="事"</formula>
    </cfRule>
    <cfRule type="expression" dxfId="2" priority="3824">
      <formula>U87="病"</formula>
    </cfRule>
  </conditionalFormatting>
  <conditionalFormatting sqref="V87">
    <cfRule type="expression" dxfId="5" priority="3817">
      <formula>V87="探"</formula>
    </cfRule>
    <cfRule type="expression" dxfId="4" priority="3818">
      <formula>V87="年"</formula>
    </cfRule>
    <cfRule type="expression" dxfId="3" priority="3819">
      <formula>V87="事"</formula>
    </cfRule>
    <cfRule type="expression" dxfId="2" priority="3820">
      <formula>V87="病"</formula>
    </cfRule>
  </conditionalFormatting>
  <conditionalFormatting sqref="W87">
    <cfRule type="expression" dxfId="5" priority="3825">
      <formula>W87="探"</formula>
    </cfRule>
    <cfRule type="expression" dxfId="4" priority="3826">
      <formula>W87="年"</formula>
    </cfRule>
    <cfRule type="expression" dxfId="3" priority="3827">
      <formula>W87="事"</formula>
    </cfRule>
    <cfRule type="expression" dxfId="2" priority="3828">
      <formula>W87="病"</formula>
    </cfRule>
  </conditionalFormatting>
  <conditionalFormatting sqref="Y87">
    <cfRule type="expression" dxfId="5" priority="7321">
      <formula>Y87="探"</formula>
    </cfRule>
    <cfRule type="expression" dxfId="4" priority="7322">
      <formula>Y87="年"</formula>
    </cfRule>
    <cfRule type="expression" dxfId="3" priority="7323">
      <formula>Y87="事"</formula>
    </cfRule>
    <cfRule type="expression" dxfId="2" priority="7324">
      <formula>Y87="病"</formula>
    </cfRule>
  </conditionalFormatting>
  <conditionalFormatting sqref="Z87:AC87">
    <cfRule type="expression" dxfId="5" priority="7317">
      <formula>Z87="探"</formula>
    </cfRule>
    <cfRule type="expression" dxfId="4" priority="7318">
      <formula>Z87="年"</formula>
    </cfRule>
    <cfRule type="expression" dxfId="3" priority="7319">
      <formula>Z87="事"</formula>
    </cfRule>
    <cfRule type="expression" dxfId="2" priority="7320">
      <formula>Z87="病"</formula>
    </cfRule>
  </conditionalFormatting>
  <conditionalFormatting sqref="AD87:AE87">
    <cfRule type="expression" dxfId="5" priority="7313">
      <formula>AD87="探"</formula>
    </cfRule>
    <cfRule type="expression" dxfId="4" priority="7314">
      <formula>AD87="年"</formula>
    </cfRule>
    <cfRule type="expression" dxfId="3" priority="7315">
      <formula>AD87="事"</formula>
    </cfRule>
    <cfRule type="expression" dxfId="2" priority="7316">
      <formula>AD87="病"</formula>
    </cfRule>
  </conditionalFormatting>
  <conditionalFormatting sqref="AF87">
    <cfRule type="expression" dxfId="5" priority="6741">
      <formula>AF87="探"</formula>
    </cfRule>
    <cfRule type="expression" dxfId="4" priority="6742">
      <formula>AF87="年"</formula>
    </cfRule>
    <cfRule type="expression" dxfId="3" priority="6743">
      <formula>AF87="事"</formula>
    </cfRule>
    <cfRule type="expression" dxfId="2" priority="6744">
      <formula>AF87="病"</formula>
    </cfRule>
  </conditionalFormatting>
  <conditionalFormatting sqref="AG87">
    <cfRule type="expression" dxfId="5" priority="6737">
      <formula>AG87="探"</formula>
    </cfRule>
    <cfRule type="expression" dxfId="4" priority="6738">
      <formula>AG87="年"</formula>
    </cfRule>
    <cfRule type="expression" dxfId="3" priority="6739">
      <formula>AG87="事"</formula>
    </cfRule>
    <cfRule type="expression" dxfId="2" priority="6740">
      <formula>AG87="病"</formula>
    </cfRule>
  </conditionalFormatting>
  <conditionalFormatting sqref="AH87:AK87">
    <cfRule type="expression" dxfId="5" priority="6733">
      <formula>AH87="探"</formula>
    </cfRule>
    <cfRule type="expression" dxfId="4" priority="6734">
      <formula>AH87="年"</formula>
    </cfRule>
    <cfRule type="expression" dxfId="3" priority="6735">
      <formula>AH87="事"</formula>
    </cfRule>
    <cfRule type="expression" dxfId="2" priority="6736">
      <formula>AH87="病"</formula>
    </cfRule>
  </conditionalFormatting>
  <conditionalFormatting sqref="I88">
    <cfRule type="expression" dxfId="5" priority="6221">
      <formula>I88="探"</formula>
    </cfRule>
    <cfRule type="expression" dxfId="4" priority="6222">
      <formula>I88="年"</formula>
    </cfRule>
    <cfRule type="expression" dxfId="3" priority="6223">
      <formula>I88="事"</formula>
    </cfRule>
    <cfRule type="expression" dxfId="2" priority="6224">
      <formula>I88="病"</formula>
    </cfRule>
  </conditionalFormatting>
  <conditionalFormatting sqref="K88:L88">
    <cfRule type="expression" dxfId="5" priority="8813">
      <formula>K88="探"</formula>
    </cfRule>
    <cfRule type="expression" dxfId="4" priority="8814">
      <formula>K88="年"</formula>
    </cfRule>
    <cfRule type="expression" dxfId="3" priority="8815">
      <formula>K88="事"</formula>
    </cfRule>
    <cfRule type="expression" dxfId="2" priority="8816">
      <formula>K88="病"</formula>
    </cfRule>
  </conditionalFormatting>
  <conditionalFormatting sqref="M88">
    <cfRule type="expression" dxfId="5" priority="5553">
      <formula>M88="探"</formula>
    </cfRule>
    <cfRule type="expression" dxfId="4" priority="5554">
      <formula>M88="年"</formula>
    </cfRule>
    <cfRule type="expression" dxfId="3" priority="5555">
      <formula>M88="事"</formula>
    </cfRule>
    <cfRule type="expression" dxfId="2" priority="5556">
      <formula>M88="病"</formula>
    </cfRule>
  </conditionalFormatting>
  <conditionalFormatting sqref="N88:O88">
    <cfRule type="expression" dxfId="5" priority="5557">
      <formula>N88="探"</formula>
    </cfRule>
    <cfRule type="expression" dxfId="4" priority="5558">
      <formula>N88="年"</formula>
    </cfRule>
    <cfRule type="expression" dxfId="3" priority="5559">
      <formula>N88="事"</formula>
    </cfRule>
    <cfRule type="expression" dxfId="2" priority="5560">
      <formula>N88="病"</formula>
    </cfRule>
  </conditionalFormatting>
  <conditionalFormatting sqref="P88">
    <cfRule type="expression" dxfId="5" priority="3809">
      <formula>P88="探"</formula>
    </cfRule>
    <cfRule type="expression" dxfId="4" priority="3810">
      <formula>P88="年"</formula>
    </cfRule>
    <cfRule type="expression" dxfId="3" priority="3811">
      <formula>P88="事"</formula>
    </cfRule>
    <cfRule type="expression" dxfId="2" priority="3812">
      <formula>P88="病"</formula>
    </cfRule>
  </conditionalFormatting>
  <conditionalFormatting sqref="Q88:R88">
    <cfRule type="expression" dxfId="5" priority="3813">
      <formula>Q88="探"</formula>
    </cfRule>
    <cfRule type="expression" dxfId="4" priority="3814">
      <formula>Q88="年"</formula>
    </cfRule>
    <cfRule type="expression" dxfId="3" priority="3815">
      <formula>Q88="事"</formula>
    </cfRule>
    <cfRule type="expression" dxfId="2" priority="3816">
      <formula>Q88="病"</formula>
    </cfRule>
  </conditionalFormatting>
  <conditionalFormatting sqref="S88">
    <cfRule type="expression" dxfId="5" priority="3801">
      <formula>S88="探"</formula>
    </cfRule>
    <cfRule type="expression" dxfId="4" priority="3802">
      <formula>S88="年"</formula>
    </cfRule>
    <cfRule type="expression" dxfId="3" priority="3803">
      <formula>S88="事"</formula>
    </cfRule>
    <cfRule type="expression" dxfId="2" priority="3804">
      <formula>S88="病"</formula>
    </cfRule>
  </conditionalFormatting>
  <conditionalFormatting sqref="T88:U88">
    <cfRule type="expression" dxfId="5" priority="3805">
      <formula>T88="探"</formula>
    </cfRule>
    <cfRule type="expression" dxfId="4" priority="3806">
      <formula>T88="年"</formula>
    </cfRule>
    <cfRule type="expression" dxfId="3" priority="3807">
      <formula>T88="事"</formula>
    </cfRule>
    <cfRule type="expression" dxfId="2" priority="3808">
      <formula>T88="病"</formula>
    </cfRule>
  </conditionalFormatting>
  <conditionalFormatting sqref="V88">
    <cfRule type="expression" dxfId="5" priority="3793">
      <formula>V88="探"</formula>
    </cfRule>
    <cfRule type="expression" dxfId="4" priority="3794">
      <formula>V88="年"</formula>
    </cfRule>
    <cfRule type="expression" dxfId="3" priority="3795">
      <formula>V88="事"</formula>
    </cfRule>
    <cfRule type="expression" dxfId="2" priority="3796">
      <formula>V88="病"</formula>
    </cfRule>
  </conditionalFormatting>
  <conditionalFormatting sqref="W88:AK88">
    <cfRule type="expression" dxfId="5" priority="3797">
      <formula>W88="探"</formula>
    </cfRule>
    <cfRule type="expression" dxfId="4" priority="3798">
      <formula>W88="年"</formula>
    </cfRule>
    <cfRule type="expression" dxfId="3" priority="3799">
      <formula>W88="事"</formula>
    </cfRule>
    <cfRule type="expression" dxfId="2" priority="3800">
      <formula>W88="病"</formula>
    </cfRule>
  </conditionalFormatting>
  <conditionalFormatting sqref="G89:I89">
    <cfRule type="expression" dxfId="5" priority="5549">
      <formula>G89="探"</formula>
    </cfRule>
    <cfRule type="expression" dxfId="4" priority="5550">
      <formula>G89="年"</formula>
    </cfRule>
    <cfRule type="expression" dxfId="3" priority="5551">
      <formula>G89="事"</formula>
    </cfRule>
    <cfRule type="expression" dxfId="2" priority="5552">
      <formula>G89="病"</formula>
    </cfRule>
  </conditionalFormatting>
  <conditionalFormatting sqref="J89:N89">
    <cfRule type="expression" dxfId="5" priority="5545">
      <formula>J89="探"</formula>
    </cfRule>
    <cfRule type="expression" dxfId="4" priority="5546">
      <formula>J89="年"</formula>
    </cfRule>
    <cfRule type="expression" dxfId="3" priority="5547">
      <formula>J89="事"</formula>
    </cfRule>
    <cfRule type="expression" dxfId="2" priority="5548">
      <formula>J89="病"</formula>
    </cfRule>
  </conditionalFormatting>
  <conditionalFormatting sqref="O89:P89">
    <cfRule type="expression" dxfId="5" priority="3769">
      <formula>O89="探"</formula>
    </cfRule>
    <cfRule type="expression" dxfId="4" priority="3770">
      <formula>O89="年"</formula>
    </cfRule>
    <cfRule type="expression" dxfId="3" priority="3771">
      <formula>O89="事"</formula>
    </cfRule>
    <cfRule type="expression" dxfId="2" priority="3772">
      <formula>O89="病"</formula>
    </cfRule>
  </conditionalFormatting>
  <conditionalFormatting sqref="Q89">
    <cfRule type="expression" dxfId="5" priority="3777">
      <formula>Q89="探"</formula>
    </cfRule>
    <cfRule type="expression" dxfId="4" priority="3778">
      <formula>Q89="年"</formula>
    </cfRule>
    <cfRule type="expression" dxfId="3" priority="3779">
      <formula>Q89="事"</formula>
    </cfRule>
    <cfRule type="expression" dxfId="2" priority="3780">
      <formula>Q89="病"</formula>
    </cfRule>
  </conditionalFormatting>
  <conditionalFormatting sqref="R89">
    <cfRule type="expression" dxfId="5" priority="3773">
      <formula>R89="探"</formula>
    </cfRule>
    <cfRule type="expression" dxfId="4" priority="3774">
      <formula>R89="年"</formula>
    </cfRule>
    <cfRule type="expression" dxfId="3" priority="3775">
      <formula>R89="事"</formula>
    </cfRule>
    <cfRule type="expression" dxfId="2" priority="3776">
      <formula>R89="病"</formula>
    </cfRule>
  </conditionalFormatting>
  <conditionalFormatting sqref="S89">
    <cfRule type="expression" dxfId="5" priority="3781">
      <formula>S89="探"</formula>
    </cfRule>
    <cfRule type="expression" dxfId="4" priority="3782">
      <formula>S89="年"</formula>
    </cfRule>
    <cfRule type="expression" dxfId="3" priority="3783">
      <formula>S89="事"</formula>
    </cfRule>
    <cfRule type="expression" dxfId="2" priority="3784">
      <formula>S89="病"</formula>
    </cfRule>
  </conditionalFormatting>
  <conditionalFormatting sqref="T89">
    <cfRule type="expression" dxfId="5" priority="8597">
      <formula>T89="探"</formula>
    </cfRule>
    <cfRule type="expression" dxfId="4" priority="8598">
      <formula>T89="年"</formula>
    </cfRule>
    <cfRule type="expression" dxfId="3" priority="8599">
      <formula>T89="事"</formula>
    </cfRule>
    <cfRule type="expression" dxfId="2" priority="8600">
      <formula>T89="病"</formula>
    </cfRule>
  </conditionalFormatting>
  <conditionalFormatting sqref="U89">
    <cfRule type="expression" dxfId="5" priority="8593">
      <formula>U89="探"</formula>
    </cfRule>
    <cfRule type="expression" dxfId="4" priority="8594">
      <formula>U89="年"</formula>
    </cfRule>
    <cfRule type="expression" dxfId="3" priority="8595">
      <formula>U89="事"</formula>
    </cfRule>
    <cfRule type="expression" dxfId="2" priority="8596">
      <formula>U89="病"</formula>
    </cfRule>
  </conditionalFormatting>
  <conditionalFormatting sqref="Z89">
    <cfRule type="expression" dxfId="5" priority="7329">
      <formula>Z89="探"</formula>
    </cfRule>
    <cfRule type="expression" dxfId="4" priority="7330">
      <formula>Z89="年"</formula>
    </cfRule>
    <cfRule type="expression" dxfId="3" priority="7331">
      <formula>Z89="事"</formula>
    </cfRule>
    <cfRule type="expression" dxfId="2" priority="7332">
      <formula>Z89="病"</formula>
    </cfRule>
  </conditionalFormatting>
  <conditionalFormatting sqref="AA89:AC89">
    <cfRule type="expression" dxfId="5" priority="7333">
      <formula>AA89="探"</formula>
    </cfRule>
    <cfRule type="expression" dxfId="4" priority="7334">
      <formula>AA89="年"</formula>
    </cfRule>
    <cfRule type="expression" dxfId="3" priority="7335">
      <formula>AA89="事"</formula>
    </cfRule>
    <cfRule type="expression" dxfId="2" priority="7336">
      <formula>AA89="病"</formula>
    </cfRule>
  </conditionalFormatting>
  <conditionalFormatting sqref="AD89:AE89">
    <cfRule type="expression" dxfId="5" priority="7325">
      <formula>AD89="探"</formula>
    </cfRule>
    <cfRule type="expression" dxfId="4" priority="7326">
      <formula>AD89="年"</formula>
    </cfRule>
    <cfRule type="expression" dxfId="3" priority="7327">
      <formula>AD89="事"</formula>
    </cfRule>
    <cfRule type="expression" dxfId="2" priority="7328">
      <formula>AD89="病"</formula>
    </cfRule>
  </conditionalFormatting>
  <conditionalFormatting sqref="AH89:AJ89">
    <cfRule type="expression" dxfId="5" priority="6697">
      <formula>AH89="探"</formula>
    </cfRule>
    <cfRule type="expression" dxfId="4" priority="6698">
      <formula>AH89="年"</formula>
    </cfRule>
    <cfRule type="expression" dxfId="3" priority="6699">
      <formula>AH89="事"</formula>
    </cfRule>
    <cfRule type="expression" dxfId="2" priority="6700">
      <formula>AH89="病"</formula>
    </cfRule>
  </conditionalFormatting>
  <conditionalFormatting sqref="AK89">
    <cfRule type="expression" dxfId="5" priority="6701">
      <formula>AK89="探"</formula>
    </cfRule>
    <cfRule type="expression" dxfId="4" priority="6702">
      <formula>AK89="年"</formula>
    </cfRule>
    <cfRule type="expression" dxfId="3" priority="6703">
      <formula>AK89="事"</formula>
    </cfRule>
    <cfRule type="expression" dxfId="2" priority="6704">
      <formula>AK89="病"</formula>
    </cfRule>
  </conditionalFormatting>
  <conditionalFormatting sqref="K90:L90">
    <cfRule type="expression" dxfId="5" priority="5537">
      <formula>K90="探"</formula>
    </cfRule>
    <cfRule type="expression" dxfId="4" priority="5538">
      <formula>K90="年"</formula>
    </cfRule>
    <cfRule type="expression" dxfId="3" priority="5539">
      <formula>K90="事"</formula>
    </cfRule>
    <cfRule type="expression" dxfId="2" priority="5540">
      <formula>K90="病"</formula>
    </cfRule>
  </conditionalFormatting>
  <conditionalFormatting sqref="M90:N90">
    <cfRule type="expression" dxfId="5" priority="5541">
      <formula>M90="探"</formula>
    </cfRule>
    <cfRule type="expression" dxfId="4" priority="5542">
      <formula>M90="年"</formula>
    </cfRule>
    <cfRule type="expression" dxfId="3" priority="5543">
      <formula>M90="事"</formula>
    </cfRule>
    <cfRule type="expression" dxfId="2" priority="5544">
      <formula>M90="病"</formula>
    </cfRule>
  </conditionalFormatting>
  <conditionalFormatting sqref="O90:P90">
    <cfRule type="expression" dxfId="5" priority="3761">
      <formula>O90="探"</formula>
    </cfRule>
    <cfRule type="expression" dxfId="4" priority="3762">
      <formula>O90="年"</formula>
    </cfRule>
    <cfRule type="expression" dxfId="3" priority="3763">
      <formula>O90="事"</formula>
    </cfRule>
    <cfRule type="expression" dxfId="2" priority="3764">
      <formula>O90="病"</formula>
    </cfRule>
  </conditionalFormatting>
  <conditionalFormatting sqref="Q90:R90">
    <cfRule type="expression" dxfId="5" priority="3765">
      <formula>Q90="探"</formula>
    </cfRule>
    <cfRule type="expression" dxfId="4" priority="3766">
      <formula>Q90="年"</formula>
    </cfRule>
    <cfRule type="expression" dxfId="3" priority="3767">
      <formula>Q90="事"</formula>
    </cfRule>
    <cfRule type="expression" dxfId="2" priority="3768">
      <formula>Q90="病"</formula>
    </cfRule>
  </conditionalFormatting>
  <conditionalFormatting sqref="S90:T90">
    <cfRule type="expression" dxfId="5" priority="3753">
      <formula>S90="探"</formula>
    </cfRule>
    <cfRule type="expression" dxfId="4" priority="3754">
      <formula>S90="年"</formula>
    </cfRule>
    <cfRule type="expression" dxfId="3" priority="3755">
      <formula>S90="事"</formula>
    </cfRule>
    <cfRule type="expression" dxfId="2" priority="3756">
      <formula>S90="病"</formula>
    </cfRule>
  </conditionalFormatting>
  <conditionalFormatting sqref="U90:V90">
    <cfRule type="expression" dxfId="5" priority="3757">
      <formula>U90="探"</formula>
    </cfRule>
    <cfRule type="expression" dxfId="4" priority="3758">
      <formula>U90="年"</formula>
    </cfRule>
    <cfRule type="expression" dxfId="3" priority="3759">
      <formula>U90="事"</formula>
    </cfRule>
    <cfRule type="expression" dxfId="2" priority="3760">
      <formula>U90="病"</formula>
    </cfRule>
  </conditionalFormatting>
  <conditionalFormatting sqref="G91:H91">
    <cfRule type="expression" dxfId="2" priority="2140">
      <formula>G91="病"</formula>
    </cfRule>
    <cfRule type="expression" dxfId="3" priority="2139">
      <formula>G91="事"</formula>
    </cfRule>
    <cfRule type="expression" dxfId="4" priority="2138">
      <formula>G91="年"</formula>
    </cfRule>
    <cfRule type="expression" dxfId="5" priority="2137">
      <formula>G91="探"</formula>
    </cfRule>
  </conditionalFormatting>
  <conditionalFormatting sqref="I91:L91">
    <cfRule type="expression" dxfId="2" priority="2144">
      <formula>I91="病"</formula>
    </cfRule>
    <cfRule type="expression" dxfId="3" priority="2143">
      <formula>I91="事"</formula>
    </cfRule>
    <cfRule type="expression" dxfId="4" priority="2142">
      <formula>I91="年"</formula>
    </cfRule>
    <cfRule type="expression" dxfId="5" priority="2141">
      <formula>I91="探"</formula>
    </cfRule>
  </conditionalFormatting>
  <conditionalFormatting sqref="M91:N91">
    <cfRule type="expression" dxfId="2" priority="2136">
      <formula>M91="病"</formula>
    </cfRule>
    <cfRule type="expression" dxfId="3" priority="2135">
      <formula>M91="事"</formula>
    </cfRule>
    <cfRule type="expression" dxfId="4" priority="2134">
      <formula>M91="年"</formula>
    </cfRule>
    <cfRule type="expression" dxfId="5" priority="2133">
      <formula>M91="探"</formula>
    </cfRule>
  </conditionalFormatting>
  <conditionalFormatting sqref="O91">
    <cfRule type="expression" dxfId="2" priority="2128">
      <formula>O91="病"</formula>
    </cfRule>
    <cfRule type="expression" dxfId="3" priority="2127">
      <formula>O91="事"</formula>
    </cfRule>
    <cfRule type="expression" dxfId="4" priority="2126">
      <formula>O91="年"</formula>
    </cfRule>
    <cfRule type="expression" dxfId="5" priority="2125">
      <formula>O91="探"</formula>
    </cfRule>
  </conditionalFormatting>
  <conditionalFormatting sqref="P91:Q91">
    <cfRule type="expression" dxfId="2" priority="2124">
      <formula>P91="病"</formula>
    </cfRule>
    <cfRule type="expression" dxfId="3" priority="2123">
      <formula>P91="事"</formula>
    </cfRule>
    <cfRule type="expression" dxfId="4" priority="2122">
      <formula>P91="年"</formula>
    </cfRule>
    <cfRule type="expression" dxfId="5" priority="2121">
      <formula>P91="探"</formula>
    </cfRule>
  </conditionalFormatting>
  <conditionalFormatting sqref="R91:S91">
    <cfRule type="expression" dxfId="2" priority="2120">
      <formula>R91="病"</formula>
    </cfRule>
    <cfRule type="expression" dxfId="3" priority="2119">
      <formula>R91="事"</formula>
    </cfRule>
    <cfRule type="expression" dxfId="4" priority="2118">
      <formula>R91="年"</formula>
    </cfRule>
    <cfRule type="expression" dxfId="5" priority="2117">
      <formula>R91="探"</formula>
    </cfRule>
  </conditionalFormatting>
  <conditionalFormatting sqref="T91:U91">
    <cfRule type="expression" dxfId="2" priority="2116">
      <formula>T91="病"</formula>
    </cfRule>
    <cfRule type="expression" dxfId="3" priority="2115">
      <formula>T91="事"</formula>
    </cfRule>
    <cfRule type="expression" dxfId="4" priority="2114">
      <formula>T91="年"</formula>
    </cfRule>
    <cfRule type="expression" dxfId="5" priority="2113">
      <formula>T91="探"</formula>
    </cfRule>
  </conditionalFormatting>
  <conditionalFormatting sqref="V91:W91">
    <cfRule type="expression" dxfId="2" priority="2112">
      <formula>V91="病"</formula>
    </cfRule>
    <cfRule type="expression" dxfId="3" priority="2111">
      <formula>V91="事"</formula>
    </cfRule>
    <cfRule type="expression" dxfId="4" priority="2110">
      <formula>V91="年"</formula>
    </cfRule>
    <cfRule type="expression" dxfId="5" priority="2109">
      <formula>V91="探"</formula>
    </cfRule>
  </conditionalFormatting>
  <conditionalFormatting sqref="X91">
    <cfRule type="expression" dxfId="2" priority="2108">
      <formula>X91="病"</formula>
    </cfRule>
    <cfRule type="expression" dxfId="3" priority="2107">
      <formula>X91="事"</formula>
    </cfRule>
    <cfRule type="expression" dxfId="4" priority="2106">
      <formula>X91="年"</formula>
    </cfRule>
    <cfRule type="expression" dxfId="5" priority="2105">
      <formula>X91="探"</formula>
    </cfRule>
  </conditionalFormatting>
  <conditionalFormatting sqref="Y91:AJ91">
    <cfRule type="expression" dxfId="2" priority="2132">
      <formula>Y91="病"</formula>
    </cfRule>
    <cfRule type="expression" dxfId="3" priority="2131">
      <formula>Y91="事"</formula>
    </cfRule>
    <cfRule type="expression" dxfId="4" priority="2130">
      <formula>Y91="年"</formula>
    </cfRule>
    <cfRule type="expression" dxfId="5" priority="2129">
      <formula>Y91="探"</formula>
    </cfRule>
  </conditionalFormatting>
  <conditionalFormatting sqref="G92:J92">
    <cfRule type="expression" dxfId="5" priority="5533">
      <formula>G92="探"</formula>
    </cfRule>
    <cfRule type="expression" dxfId="4" priority="5534">
      <formula>G92="年"</formula>
    </cfRule>
    <cfRule type="expression" dxfId="3" priority="5535">
      <formula>G92="事"</formula>
    </cfRule>
    <cfRule type="expression" dxfId="2" priority="5536">
      <formula>G92="病"</formula>
    </cfRule>
  </conditionalFormatting>
  <conditionalFormatting sqref="K92">
    <cfRule type="expression" dxfId="5" priority="5529">
      <formula>K92="探"</formula>
    </cfRule>
    <cfRule type="expression" dxfId="4" priority="5530">
      <formula>K92="年"</formula>
    </cfRule>
    <cfRule type="expression" dxfId="3" priority="5531">
      <formula>K92="事"</formula>
    </cfRule>
    <cfRule type="expression" dxfId="2" priority="5532">
      <formula>K92="病"</formula>
    </cfRule>
  </conditionalFormatting>
  <conditionalFormatting sqref="L92:N92">
    <cfRule type="expression" dxfId="5" priority="5525">
      <formula>L92="探"</formula>
    </cfRule>
    <cfRule type="expression" dxfId="4" priority="5526">
      <formula>L92="年"</formula>
    </cfRule>
    <cfRule type="expression" dxfId="3" priority="5527">
      <formula>L92="事"</formula>
    </cfRule>
    <cfRule type="expression" dxfId="2" priority="5528">
      <formula>L92="病"</formula>
    </cfRule>
  </conditionalFormatting>
  <conditionalFormatting sqref="O92:Q92">
    <cfRule type="expression" dxfId="5" priority="3749">
      <formula>O92="探"</formula>
    </cfRule>
    <cfRule type="expression" dxfId="4" priority="3750">
      <formula>O92="年"</formula>
    </cfRule>
    <cfRule type="expression" dxfId="3" priority="3751">
      <formula>O92="事"</formula>
    </cfRule>
    <cfRule type="expression" dxfId="2" priority="3752">
      <formula>O92="病"</formula>
    </cfRule>
  </conditionalFormatting>
  <conditionalFormatting sqref="R92:T92">
    <cfRule type="expression" dxfId="5" priority="3745">
      <formula>R92="探"</formula>
    </cfRule>
    <cfRule type="expression" dxfId="4" priority="3746">
      <formula>R92="年"</formula>
    </cfRule>
    <cfRule type="expression" dxfId="3" priority="3747">
      <formula>R92="事"</formula>
    </cfRule>
    <cfRule type="expression" dxfId="2" priority="3748">
      <formula>R92="病"</formula>
    </cfRule>
  </conditionalFormatting>
  <conditionalFormatting sqref="U92:W92">
    <cfRule type="expression" dxfId="5" priority="3741">
      <formula>U92="探"</formula>
    </cfRule>
    <cfRule type="expression" dxfId="4" priority="3742">
      <formula>U92="年"</formula>
    </cfRule>
    <cfRule type="expression" dxfId="3" priority="3743">
      <formula>U92="事"</formula>
    </cfRule>
    <cfRule type="expression" dxfId="2" priority="3744">
      <formula>U92="病"</formula>
    </cfRule>
  </conditionalFormatting>
  <conditionalFormatting sqref="Z92">
    <cfRule type="expression" dxfId="2" priority="1636">
      <formula>Z92="病"</formula>
    </cfRule>
    <cfRule type="expression" dxfId="3" priority="1635">
      <formula>Z92="事"</formula>
    </cfRule>
    <cfRule type="expression" dxfId="4" priority="1634">
      <formula>Z92="年"</formula>
    </cfRule>
    <cfRule type="expression" dxfId="5" priority="1633">
      <formula>Z92="探"</formula>
    </cfRule>
  </conditionalFormatting>
  <conditionalFormatting sqref="AA92:AB92">
    <cfRule type="expression" dxfId="2" priority="1640">
      <formula>AA92="病"</formula>
    </cfRule>
    <cfRule type="expression" dxfId="3" priority="1639">
      <formula>AA92="事"</formula>
    </cfRule>
    <cfRule type="expression" dxfId="4" priority="1638">
      <formula>AA92="年"</formula>
    </cfRule>
    <cfRule type="expression" dxfId="5" priority="1637">
      <formula>AA92="探"</formula>
    </cfRule>
  </conditionalFormatting>
  <conditionalFormatting sqref="H93:J93">
    <cfRule type="expression" dxfId="5" priority="8857">
      <formula>H93="探"</formula>
    </cfRule>
    <cfRule type="expression" dxfId="4" priority="8858">
      <formula>H93="年"</formula>
    </cfRule>
    <cfRule type="expression" dxfId="3" priority="8859">
      <formula>H93="事"</formula>
    </cfRule>
    <cfRule type="expression" dxfId="2" priority="8860">
      <formula>H93="病"</formula>
    </cfRule>
  </conditionalFormatting>
  <conditionalFormatting sqref="N93">
    <cfRule type="expression" dxfId="5" priority="8585">
      <formula>N93="探"</formula>
    </cfRule>
    <cfRule type="expression" dxfId="4" priority="8586">
      <formula>N93="年"</formula>
    </cfRule>
    <cfRule type="expression" dxfId="3" priority="8587">
      <formula>N93="事"</formula>
    </cfRule>
    <cfRule type="expression" dxfId="2" priority="8588">
      <formula>N93="病"</formula>
    </cfRule>
  </conditionalFormatting>
  <conditionalFormatting sqref="R93">
    <cfRule type="expression" dxfId="5" priority="8577">
      <formula>R93="探"</formula>
    </cfRule>
    <cfRule type="expression" dxfId="4" priority="8578">
      <formula>R93="年"</formula>
    </cfRule>
    <cfRule type="expression" dxfId="3" priority="8579">
      <formula>R93="事"</formula>
    </cfRule>
    <cfRule type="expression" dxfId="2" priority="8580">
      <formula>R93="病"</formula>
    </cfRule>
  </conditionalFormatting>
  <conditionalFormatting sqref="S93:U93">
    <cfRule type="expression" dxfId="5" priority="8581">
      <formula>S93="探"</formula>
    </cfRule>
    <cfRule type="expression" dxfId="4" priority="8582">
      <formula>S93="年"</formula>
    </cfRule>
    <cfRule type="expression" dxfId="3" priority="8583">
      <formula>S93="事"</formula>
    </cfRule>
    <cfRule type="expression" dxfId="2" priority="8584">
      <formula>S93="病"</formula>
    </cfRule>
  </conditionalFormatting>
  <conditionalFormatting sqref="V93">
    <cfRule type="expression" dxfId="5" priority="8385">
      <formula>V93="探"</formula>
    </cfRule>
    <cfRule type="expression" dxfId="4" priority="8386">
      <formula>V93="年"</formula>
    </cfRule>
    <cfRule type="expression" dxfId="3" priority="8387">
      <formula>V93="事"</formula>
    </cfRule>
    <cfRule type="expression" dxfId="2" priority="8388">
      <formula>V93="病"</formula>
    </cfRule>
  </conditionalFormatting>
  <conditionalFormatting sqref="W93:Y93">
    <cfRule type="expression" dxfId="5" priority="8389">
      <formula>W93="探"</formula>
    </cfRule>
    <cfRule type="expression" dxfId="4" priority="8390">
      <formula>W93="年"</formula>
    </cfRule>
    <cfRule type="expression" dxfId="3" priority="8391">
      <formula>W93="事"</formula>
    </cfRule>
    <cfRule type="expression" dxfId="2" priority="8392">
      <formula>W93="病"</formula>
    </cfRule>
  </conditionalFormatting>
  <conditionalFormatting sqref="Z93">
    <cfRule type="expression" dxfId="5" priority="7345">
      <formula>Z93="探"</formula>
    </cfRule>
    <cfRule type="expression" dxfId="4" priority="7346">
      <formula>Z93="年"</formula>
    </cfRule>
    <cfRule type="expression" dxfId="3" priority="7347">
      <formula>Z93="事"</formula>
    </cfRule>
    <cfRule type="expression" dxfId="2" priority="7348">
      <formula>Z93="病"</formula>
    </cfRule>
  </conditionalFormatting>
  <conditionalFormatting sqref="AA93:AE93">
    <cfRule type="expression" dxfId="5" priority="7349">
      <formula>AA93="探"</formula>
    </cfRule>
    <cfRule type="expression" dxfId="4" priority="7350">
      <formula>AA93="年"</formula>
    </cfRule>
    <cfRule type="expression" dxfId="3" priority="7351">
      <formula>AA93="事"</formula>
    </cfRule>
    <cfRule type="expression" dxfId="2" priority="7352">
      <formula>AA93="病"</formula>
    </cfRule>
  </conditionalFormatting>
  <conditionalFormatting sqref="AF93:AG93">
    <cfRule type="expression" dxfId="5" priority="7341">
      <formula>AF93="探"</formula>
    </cfRule>
    <cfRule type="expression" dxfId="4" priority="7342">
      <formula>AF93="年"</formula>
    </cfRule>
    <cfRule type="expression" dxfId="3" priority="7343">
      <formula>AF93="事"</formula>
    </cfRule>
    <cfRule type="expression" dxfId="2" priority="7344">
      <formula>AF93="病"</formula>
    </cfRule>
  </conditionalFormatting>
  <conditionalFormatting sqref="G94:H94">
    <cfRule type="expression" dxfId="5" priority="8845">
      <formula>G94="探"</formula>
    </cfRule>
    <cfRule type="expression" dxfId="4" priority="8846">
      <formula>G94="年"</formula>
    </cfRule>
    <cfRule type="expression" dxfId="3" priority="8847">
      <formula>G94="事"</formula>
    </cfRule>
    <cfRule type="expression" dxfId="2" priority="8848">
      <formula>G94="病"</formula>
    </cfRule>
  </conditionalFormatting>
  <conditionalFormatting sqref="I94:J94">
    <cfRule type="expression" dxfId="5" priority="8849">
      <formula>I94="探"</formula>
    </cfRule>
    <cfRule type="expression" dxfId="4" priority="8850">
      <formula>I94="年"</formula>
    </cfRule>
    <cfRule type="expression" dxfId="3" priority="8851">
      <formula>I94="事"</formula>
    </cfRule>
    <cfRule type="expression" dxfId="2" priority="8852">
      <formula>I94="病"</formula>
    </cfRule>
  </conditionalFormatting>
  <conditionalFormatting sqref="L94">
    <cfRule type="expression" dxfId="5" priority="5513">
      <formula>L94="探"</formula>
    </cfRule>
    <cfRule type="expression" dxfId="4" priority="5514">
      <formula>L94="年"</formula>
    </cfRule>
    <cfRule type="expression" dxfId="3" priority="5515">
      <formula>L94="事"</formula>
    </cfRule>
    <cfRule type="expression" dxfId="2" priority="5516">
      <formula>L94="病"</formula>
    </cfRule>
  </conditionalFormatting>
  <conditionalFormatting sqref="M94:N94">
    <cfRule type="expression" dxfId="5" priority="5517">
      <formula>M94="探"</formula>
    </cfRule>
    <cfRule type="expression" dxfId="4" priority="5518">
      <formula>M94="年"</formula>
    </cfRule>
    <cfRule type="expression" dxfId="3" priority="5519">
      <formula>M94="事"</formula>
    </cfRule>
    <cfRule type="expression" dxfId="2" priority="5520">
      <formula>M94="病"</formula>
    </cfRule>
  </conditionalFormatting>
  <conditionalFormatting sqref="O94">
    <cfRule type="expression" dxfId="5" priority="5521">
      <formula>O94="探"</formula>
    </cfRule>
    <cfRule type="expression" dxfId="4" priority="5522">
      <formula>O94="年"</formula>
    </cfRule>
    <cfRule type="expression" dxfId="3" priority="5523">
      <formula>O94="事"</formula>
    </cfRule>
    <cfRule type="expression" dxfId="2" priority="5524">
      <formula>O94="病"</formula>
    </cfRule>
  </conditionalFormatting>
  <conditionalFormatting sqref="R94">
    <cfRule type="expression" dxfId="5" priority="8569">
      <formula>R94="探"</formula>
    </cfRule>
    <cfRule type="expression" dxfId="4" priority="8570">
      <formula>R94="年"</formula>
    </cfRule>
    <cfRule type="expression" dxfId="3" priority="8571">
      <formula>R94="事"</formula>
    </cfRule>
    <cfRule type="expression" dxfId="2" priority="8572">
      <formula>R94="病"</formula>
    </cfRule>
  </conditionalFormatting>
  <conditionalFormatting sqref="S94:U94">
    <cfRule type="expression" dxfId="5" priority="8573">
      <formula>S94="探"</formula>
    </cfRule>
    <cfRule type="expression" dxfId="4" priority="8574">
      <formula>S94="年"</formula>
    </cfRule>
    <cfRule type="expression" dxfId="3" priority="8575">
      <formula>S94="事"</formula>
    </cfRule>
    <cfRule type="expression" dxfId="2" priority="8576">
      <formula>S94="病"</formula>
    </cfRule>
  </conditionalFormatting>
  <conditionalFormatting sqref="V94">
    <cfRule type="expression" dxfId="5" priority="8377">
      <formula>V94="探"</formula>
    </cfRule>
    <cfRule type="expression" dxfId="4" priority="8378">
      <formula>V94="年"</formula>
    </cfRule>
    <cfRule type="expression" dxfId="3" priority="8379">
      <formula>V94="事"</formula>
    </cfRule>
    <cfRule type="expression" dxfId="2" priority="8380">
      <formula>V94="病"</formula>
    </cfRule>
  </conditionalFormatting>
  <conditionalFormatting sqref="W94:X94">
    <cfRule type="expression" dxfId="5" priority="8381">
      <formula>W94="探"</formula>
    </cfRule>
    <cfRule type="expression" dxfId="4" priority="8382">
      <formula>W94="年"</formula>
    </cfRule>
    <cfRule type="expression" dxfId="3" priority="8383">
      <formula>W94="事"</formula>
    </cfRule>
    <cfRule type="expression" dxfId="2" priority="8384">
      <formula>W94="病"</formula>
    </cfRule>
  </conditionalFormatting>
  <conditionalFormatting sqref="Y94">
    <cfRule type="expression" dxfId="2" priority="1628">
      <formula>Y94="病"</formula>
    </cfRule>
    <cfRule type="expression" dxfId="3" priority="1627">
      <formula>Y94="事"</formula>
    </cfRule>
    <cfRule type="expression" dxfId="4" priority="1626">
      <formula>Y94="年"</formula>
    </cfRule>
    <cfRule type="expression" dxfId="5" priority="1625">
      <formula>Y94="探"</formula>
    </cfRule>
  </conditionalFormatting>
  <conditionalFormatting sqref="Z94:AA94">
    <cfRule type="expression" dxfId="2" priority="1632">
      <formula>Z94="病"</formula>
    </cfRule>
    <cfRule type="expression" dxfId="3" priority="1631">
      <formula>Z94="事"</formula>
    </cfRule>
    <cfRule type="expression" dxfId="4" priority="1630">
      <formula>Z94="年"</formula>
    </cfRule>
    <cfRule type="expression" dxfId="5" priority="1629">
      <formula>Z94="探"</formula>
    </cfRule>
  </conditionalFormatting>
  <conditionalFormatting sqref="AB94">
    <cfRule type="expression" dxfId="2" priority="1620">
      <formula>AB94="病"</formula>
    </cfRule>
    <cfRule type="expression" dxfId="3" priority="1619">
      <formula>AB94="事"</formula>
    </cfRule>
    <cfRule type="expression" dxfId="4" priority="1618">
      <formula>AB94="年"</formula>
    </cfRule>
    <cfRule type="expression" dxfId="5" priority="1617">
      <formula>AB94="探"</formula>
    </cfRule>
  </conditionalFormatting>
  <conditionalFormatting sqref="AC94:AD94">
    <cfRule type="expression" dxfId="2" priority="1624">
      <formula>AC94="病"</formula>
    </cfRule>
    <cfRule type="expression" dxfId="3" priority="1623">
      <formula>AC94="事"</formula>
    </cfRule>
    <cfRule type="expression" dxfId="4" priority="1622">
      <formula>AC94="年"</formula>
    </cfRule>
    <cfRule type="expression" dxfId="5" priority="1621">
      <formula>AC94="探"</formula>
    </cfRule>
  </conditionalFormatting>
  <conditionalFormatting sqref="AE94:AG94">
    <cfRule type="expression" dxfId="5" priority="7357">
      <formula>AE94="探"</formula>
    </cfRule>
    <cfRule type="expression" dxfId="4" priority="7358">
      <formula>AE94="年"</formula>
    </cfRule>
    <cfRule type="expression" dxfId="3" priority="7359">
      <formula>AE94="事"</formula>
    </cfRule>
    <cfRule type="expression" dxfId="2" priority="7360">
      <formula>AE94="病"</formula>
    </cfRule>
  </conditionalFormatting>
  <conditionalFormatting sqref="AH94">
    <cfRule type="expression" dxfId="5" priority="6689">
      <formula>AH94="探"</formula>
    </cfRule>
    <cfRule type="expression" dxfId="4" priority="6690">
      <formula>AH94="年"</formula>
    </cfRule>
    <cfRule type="expression" dxfId="3" priority="6691">
      <formula>AH94="事"</formula>
    </cfRule>
    <cfRule type="expression" dxfId="2" priority="6692">
      <formula>AH94="病"</formula>
    </cfRule>
  </conditionalFormatting>
  <conditionalFormatting sqref="AI94:AK94">
    <cfRule type="expression" dxfId="5" priority="6693">
      <formula>AI94="探"</formula>
    </cfRule>
    <cfRule type="expression" dxfId="4" priority="6694">
      <formula>AI94="年"</formula>
    </cfRule>
    <cfRule type="expression" dxfId="3" priority="6695">
      <formula>AI94="事"</formula>
    </cfRule>
    <cfRule type="expression" dxfId="2" priority="6696">
      <formula>AI94="病"</formula>
    </cfRule>
  </conditionalFormatting>
  <conditionalFormatting sqref="Q95:R95">
    <cfRule type="expression" dxfId="5" priority="8565">
      <formula>Q95="探"</formula>
    </cfRule>
    <cfRule type="expression" dxfId="4" priority="8566">
      <formula>Q95="年"</formula>
    </cfRule>
    <cfRule type="expression" dxfId="3" priority="8567">
      <formula>Q95="事"</formula>
    </cfRule>
    <cfRule type="expression" dxfId="2" priority="8568">
      <formula>Q95="病"</formula>
    </cfRule>
  </conditionalFormatting>
  <conditionalFormatting sqref="G96:H96">
    <cfRule type="expression" dxfId="5" priority="6213">
      <formula>G96="探"</formula>
    </cfRule>
    <cfRule type="expression" dxfId="4" priority="6214">
      <formula>G96="年"</formula>
    </cfRule>
    <cfRule type="expression" dxfId="3" priority="6215">
      <formula>G96="事"</formula>
    </cfRule>
    <cfRule type="expression" dxfId="2" priority="6216">
      <formula>G96="病"</formula>
    </cfRule>
  </conditionalFormatting>
  <conditionalFormatting sqref="I96:J96">
    <cfRule type="expression" dxfId="5" priority="6217">
      <formula>I96="探"</formula>
    </cfRule>
    <cfRule type="expression" dxfId="4" priority="6218">
      <formula>I96="年"</formula>
    </cfRule>
    <cfRule type="expression" dxfId="3" priority="6219">
      <formula>I96="事"</formula>
    </cfRule>
    <cfRule type="expression" dxfId="2" priority="6220">
      <formula>I96="病"</formula>
    </cfRule>
  </conditionalFormatting>
  <conditionalFormatting sqref="P96">
    <cfRule type="expression" dxfId="5" priority="3737">
      <formula>P96="探"</formula>
    </cfRule>
    <cfRule type="expression" dxfId="4" priority="3738">
      <formula>P96="年"</formula>
    </cfRule>
    <cfRule type="expression" dxfId="3" priority="3739">
      <formula>P96="事"</formula>
    </cfRule>
    <cfRule type="expression" dxfId="2" priority="3740">
      <formula>P96="病"</formula>
    </cfRule>
  </conditionalFormatting>
  <conditionalFormatting sqref="Q96:S96">
    <cfRule type="expression" dxfId="5" priority="3725">
      <formula>Q96="探"</formula>
    </cfRule>
    <cfRule type="expression" dxfId="4" priority="3726">
      <formula>Q96="年"</formula>
    </cfRule>
    <cfRule type="expression" dxfId="3" priority="3727">
      <formula>Q96="事"</formula>
    </cfRule>
    <cfRule type="expression" dxfId="2" priority="3728">
      <formula>Q96="病"</formula>
    </cfRule>
  </conditionalFormatting>
  <conditionalFormatting sqref="T96:V96">
    <cfRule type="expression" dxfId="5" priority="3729">
      <formula>T96="探"</formula>
    </cfRule>
    <cfRule type="expression" dxfId="4" priority="3730">
      <formula>T96="年"</formula>
    </cfRule>
    <cfRule type="expression" dxfId="3" priority="3731">
      <formula>T96="事"</formula>
    </cfRule>
    <cfRule type="expression" dxfId="2" priority="3732">
      <formula>T96="病"</formula>
    </cfRule>
  </conditionalFormatting>
  <conditionalFormatting sqref="W96:X96">
    <cfRule type="expression" dxfId="5" priority="3733">
      <formula>W96="探"</formula>
    </cfRule>
    <cfRule type="expression" dxfId="4" priority="3734">
      <formula>W96="年"</formula>
    </cfRule>
    <cfRule type="expression" dxfId="3" priority="3735">
      <formula>W96="事"</formula>
    </cfRule>
    <cfRule type="expression" dxfId="2" priority="3736">
      <formula>W96="病"</formula>
    </cfRule>
  </conditionalFormatting>
  <conditionalFormatting sqref="AF96:AI96">
    <cfRule type="expression" dxfId="2" priority="508">
      <formula>AF96="病"</formula>
    </cfRule>
    <cfRule type="expression" dxfId="3" priority="507">
      <formula>AF96="事"</formula>
    </cfRule>
    <cfRule type="expression" dxfId="4" priority="506">
      <formula>AF96="年"</formula>
    </cfRule>
    <cfRule type="expression" dxfId="5" priority="505">
      <formula>AF96="探"</formula>
    </cfRule>
  </conditionalFormatting>
  <conditionalFormatting sqref="AJ96:AK96">
    <cfRule type="expression" dxfId="2" priority="504">
      <formula>AJ96="病"</formula>
    </cfRule>
    <cfRule type="expression" dxfId="3" priority="503">
      <formula>AJ96="事"</formula>
    </cfRule>
    <cfRule type="expression" dxfId="4" priority="502">
      <formula>AJ96="年"</formula>
    </cfRule>
    <cfRule type="expression" dxfId="5" priority="501">
      <formula>AJ96="探"</formula>
    </cfRule>
  </conditionalFormatting>
  <conditionalFormatting sqref="K97:M97">
    <cfRule type="expression" dxfId="5" priority="5509">
      <formula>K97="探"</formula>
    </cfRule>
    <cfRule type="expression" dxfId="4" priority="5510">
      <formula>K97="年"</formula>
    </cfRule>
    <cfRule type="expression" dxfId="3" priority="5511">
      <formula>K97="事"</formula>
    </cfRule>
    <cfRule type="expression" dxfId="2" priority="5512">
      <formula>K97="病"</formula>
    </cfRule>
  </conditionalFormatting>
  <conditionalFormatting sqref="N97">
    <cfRule type="expression" dxfId="5" priority="8561">
      <formula>N97="探"</formula>
    </cfRule>
    <cfRule type="expression" dxfId="4" priority="8562">
      <formula>N97="年"</formula>
    </cfRule>
    <cfRule type="expression" dxfId="3" priority="8563">
      <formula>N97="事"</formula>
    </cfRule>
    <cfRule type="expression" dxfId="2" priority="8564">
      <formula>N97="病"</formula>
    </cfRule>
  </conditionalFormatting>
  <conditionalFormatting sqref="O97:P97">
    <cfRule type="expression" dxfId="5" priority="3721">
      <formula>O97="探"</formula>
    </cfRule>
    <cfRule type="expression" dxfId="4" priority="3722">
      <formula>O97="年"</formula>
    </cfRule>
    <cfRule type="expression" dxfId="3" priority="3723">
      <formula>O97="事"</formula>
    </cfRule>
    <cfRule type="expression" dxfId="2" priority="3724">
      <formula>O97="病"</formula>
    </cfRule>
  </conditionalFormatting>
  <conditionalFormatting sqref="Q97:R97">
    <cfRule type="expression" dxfId="5" priority="3717">
      <formula>Q97="探"</formula>
    </cfRule>
    <cfRule type="expression" dxfId="4" priority="3718">
      <formula>Q97="年"</formula>
    </cfRule>
    <cfRule type="expression" dxfId="3" priority="3719">
      <formula>Q97="事"</formula>
    </cfRule>
    <cfRule type="expression" dxfId="2" priority="3720">
      <formula>Q97="病"</formula>
    </cfRule>
  </conditionalFormatting>
  <conditionalFormatting sqref="S97:T97">
    <cfRule type="expression" dxfId="5" priority="3713">
      <formula>S97="探"</formula>
    </cfRule>
    <cfRule type="expression" dxfId="4" priority="3714">
      <formula>S97="年"</formula>
    </cfRule>
    <cfRule type="expression" dxfId="3" priority="3715">
      <formula>S97="事"</formula>
    </cfRule>
    <cfRule type="expression" dxfId="2" priority="3716">
      <formula>S97="病"</formula>
    </cfRule>
  </conditionalFormatting>
  <conditionalFormatting sqref="U97:V97">
    <cfRule type="expression" dxfId="5" priority="3709">
      <formula>U97="探"</formula>
    </cfRule>
    <cfRule type="expression" dxfId="4" priority="3710">
      <formula>U97="年"</formula>
    </cfRule>
    <cfRule type="expression" dxfId="3" priority="3711">
      <formula>U97="事"</formula>
    </cfRule>
    <cfRule type="expression" dxfId="2" priority="3712">
      <formula>U97="病"</formula>
    </cfRule>
  </conditionalFormatting>
  <conditionalFormatting sqref="W97:X97">
    <cfRule type="expression" dxfId="5" priority="3705">
      <formula>W97="探"</formula>
    </cfRule>
    <cfRule type="expression" dxfId="4" priority="3706">
      <formula>W97="年"</formula>
    </cfRule>
    <cfRule type="expression" dxfId="3" priority="3707">
      <formula>W97="事"</formula>
    </cfRule>
    <cfRule type="expression" dxfId="2" priority="3708">
      <formula>W97="病"</formula>
    </cfRule>
  </conditionalFormatting>
  <conditionalFormatting sqref="Y97">
    <cfRule type="expression" dxfId="2" priority="1616">
      <formula>Y97="病"</formula>
    </cfRule>
    <cfRule type="expression" dxfId="3" priority="1615">
      <formula>Y97="事"</formula>
    </cfRule>
    <cfRule type="expression" dxfId="4" priority="1614">
      <formula>Y97="年"</formula>
    </cfRule>
    <cfRule type="expression" dxfId="5" priority="1613">
      <formula>Y97="探"</formula>
    </cfRule>
  </conditionalFormatting>
  <conditionalFormatting sqref="Z97:AB97">
    <cfRule type="expression" dxfId="2" priority="1612">
      <formula>Z97="病"</formula>
    </cfRule>
    <cfRule type="expression" dxfId="3" priority="1611">
      <formula>Z97="事"</formula>
    </cfRule>
    <cfRule type="expression" dxfId="4" priority="1610">
      <formula>Z97="年"</formula>
    </cfRule>
    <cfRule type="expression" dxfId="5" priority="1609">
      <formula>Z97="探"</formula>
    </cfRule>
  </conditionalFormatting>
  <conditionalFormatting sqref="AC97:AD97">
    <cfRule type="expression" dxfId="2" priority="1608">
      <formula>AC97="病"</formula>
    </cfRule>
    <cfRule type="expression" dxfId="3" priority="1607">
      <formula>AC97="事"</formula>
    </cfRule>
    <cfRule type="expression" dxfId="4" priority="1606">
      <formula>AC97="年"</formula>
    </cfRule>
    <cfRule type="expression" dxfId="5" priority="1605">
      <formula>AC97="探"</formula>
    </cfRule>
  </conditionalFormatting>
  <conditionalFormatting sqref="AE97:AG97">
    <cfRule type="expression" dxfId="5" priority="7381">
      <formula>AE97="探"</formula>
    </cfRule>
    <cfRule type="expression" dxfId="4" priority="7382">
      <formula>AE97="年"</formula>
    </cfRule>
    <cfRule type="expression" dxfId="3" priority="7383">
      <formula>AE97="事"</formula>
    </cfRule>
    <cfRule type="expression" dxfId="2" priority="7384">
      <formula>AE97="病"</formula>
    </cfRule>
  </conditionalFormatting>
  <conditionalFormatting sqref="AJ97:AK97">
    <cfRule type="expression" dxfId="2" priority="500">
      <formula>AJ97="病"</formula>
    </cfRule>
    <cfRule type="expression" dxfId="3" priority="499">
      <formula>AJ97="事"</formula>
    </cfRule>
    <cfRule type="expression" dxfId="4" priority="498">
      <formula>AJ97="年"</formula>
    </cfRule>
    <cfRule type="expression" dxfId="5" priority="497">
      <formula>AJ97="探"</formula>
    </cfRule>
  </conditionalFormatting>
  <conditionalFormatting sqref="K98:N98">
    <cfRule type="expression" dxfId="5" priority="5505">
      <formula>K98="探"</formula>
    </cfRule>
    <cfRule type="expression" dxfId="4" priority="5506">
      <formula>K98="年"</formula>
    </cfRule>
    <cfRule type="expression" dxfId="3" priority="5507">
      <formula>K98="事"</formula>
    </cfRule>
    <cfRule type="expression" dxfId="2" priority="5508">
      <formula>K98="病"</formula>
    </cfRule>
  </conditionalFormatting>
  <conditionalFormatting sqref="O98:R98">
    <cfRule type="expression" dxfId="5" priority="3701">
      <formula>O98="探"</formula>
    </cfRule>
    <cfRule type="expression" dxfId="4" priority="3702">
      <formula>O98="年"</formula>
    </cfRule>
    <cfRule type="expression" dxfId="3" priority="3703">
      <formula>O98="事"</formula>
    </cfRule>
    <cfRule type="expression" dxfId="2" priority="3704">
      <formula>O98="病"</formula>
    </cfRule>
  </conditionalFormatting>
  <conditionalFormatting sqref="S98:V98">
    <cfRule type="expression" dxfId="5" priority="3697">
      <formula>S98="探"</formula>
    </cfRule>
    <cfRule type="expression" dxfId="4" priority="3698">
      <formula>S98="年"</formula>
    </cfRule>
    <cfRule type="expression" dxfId="3" priority="3699">
      <formula>S98="事"</formula>
    </cfRule>
    <cfRule type="expression" dxfId="2" priority="3700">
      <formula>S98="病"</formula>
    </cfRule>
  </conditionalFormatting>
  <conditionalFormatting sqref="W98:X98">
    <cfRule type="expression" dxfId="5" priority="3693">
      <formula>W98="探"</formula>
    </cfRule>
    <cfRule type="expression" dxfId="4" priority="3694">
      <formula>W98="年"</formula>
    </cfRule>
    <cfRule type="expression" dxfId="3" priority="3695">
      <formula>W98="事"</formula>
    </cfRule>
    <cfRule type="expression" dxfId="2" priority="3696">
      <formula>W98="病"</formula>
    </cfRule>
  </conditionalFormatting>
  <conditionalFormatting sqref="Y98:AA98">
    <cfRule type="expression" dxfId="5" priority="7397">
      <formula>Y98="探"</formula>
    </cfRule>
    <cfRule type="expression" dxfId="4" priority="7398">
      <formula>Y98="年"</formula>
    </cfRule>
    <cfRule type="expression" dxfId="3" priority="7399">
      <formula>Y98="事"</formula>
    </cfRule>
    <cfRule type="expression" dxfId="2" priority="7400">
      <formula>Y98="病"</formula>
    </cfRule>
  </conditionalFormatting>
  <conditionalFormatting sqref="AB98:AD98">
    <cfRule type="expression" dxfId="5" priority="7405">
      <formula>AB98="探"</formula>
    </cfRule>
    <cfRule type="expression" dxfId="4" priority="7406">
      <formula>AB98="年"</formula>
    </cfRule>
    <cfRule type="expression" dxfId="3" priority="7407">
      <formula>AB98="事"</formula>
    </cfRule>
    <cfRule type="expression" dxfId="2" priority="7408">
      <formula>AB98="病"</formula>
    </cfRule>
  </conditionalFormatting>
  <conditionalFormatting sqref="AE98">
    <cfRule type="expression" dxfId="5" priority="7393">
      <formula>AE98="探"</formula>
    </cfRule>
    <cfRule type="expression" dxfId="4" priority="7394">
      <formula>AE98="年"</formula>
    </cfRule>
    <cfRule type="expression" dxfId="3" priority="7395">
      <formula>AE98="事"</formula>
    </cfRule>
    <cfRule type="expression" dxfId="2" priority="7396">
      <formula>AE98="病"</formula>
    </cfRule>
  </conditionalFormatting>
  <conditionalFormatting sqref="AF98:AG98">
    <cfRule type="expression" dxfId="2" priority="496">
      <formula>AF98="病"</formula>
    </cfRule>
    <cfRule type="expression" dxfId="3" priority="495">
      <formula>AF98="事"</formula>
    </cfRule>
    <cfRule type="expression" dxfId="4" priority="494">
      <formula>AF98="年"</formula>
    </cfRule>
    <cfRule type="expression" dxfId="5" priority="493">
      <formula>AF98="探"</formula>
    </cfRule>
  </conditionalFormatting>
  <conditionalFormatting sqref="AH98">
    <cfRule type="expression" dxfId="2" priority="492">
      <formula>AH98="病"</formula>
    </cfRule>
    <cfRule type="expression" dxfId="3" priority="491">
      <formula>AH98="事"</formula>
    </cfRule>
    <cfRule type="expression" dxfId="4" priority="490">
      <formula>AH98="年"</formula>
    </cfRule>
    <cfRule type="expression" dxfId="5" priority="489">
      <formula>AH98="探"</formula>
    </cfRule>
  </conditionalFormatting>
  <conditionalFormatting sqref="AI98:AJ98">
    <cfRule type="expression" dxfId="2" priority="488">
      <formula>AI98="病"</formula>
    </cfRule>
    <cfRule type="expression" dxfId="3" priority="487">
      <formula>AI98="事"</formula>
    </cfRule>
    <cfRule type="expression" dxfId="4" priority="486">
      <formula>AI98="年"</formula>
    </cfRule>
    <cfRule type="expression" dxfId="5" priority="485">
      <formula>AI98="探"</formula>
    </cfRule>
  </conditionalFormatting>
  <conditionalFormatting sqref="AK98">
    <cfRule type="expression" dxfId="2" priority="484">
      <formula>AK98="病"</formula>
    </cfRule>
    <cfRule type="expression" dxfId="3" priority="483">
      <formula>AK98="事"</formula>
    </cfRule>
    <cfRule type="expression" dxfId="4" priority="482">
      <formula>AK98="年"</formula>
    </cfRule>
    <cfRule type="expression" dxfId="5" priority="481">
      <formula>AK98="探"</formula>
    </cfRule>
  </conditionalFormatting>
  <conditionalFormatting sqref="L99:M99">
    <cfRule type="expression" dxfId="5" priority="5501">
      <formula>L99="探"</formula>
    </cfRule>
    <cfRule type="expression" dxfId="4" priority="5502">
      <formula>L99="年"</formula>
    </cfRule>
    <cfRule type="expression" dxfId="3" priority="5503">
      <formula>L99="事"</formula>
    </cfRule>
    <cfRule type="expression" dxfId="2" priority="5504">
      <formula>L99="病"</formula>
    </cfRule>
  </conditionalFormatting>
  <conditionalFormatting sqref="O99">
    <cfRule type="expression" dxfId="5" priority="8557">
      <formula>O99="探"</formula>
    </cfRule>
    <cfRule type="expression" dxfId="4" priority="8558">
      <formula>O99="年"</formula>
    </cfRule>
    <cfRule type="expression" dxfId="3" priority="8559">
      <formula>O99="事"</formula>
    </cfRule>
    <cfRule type="expression" dxfId="2" priority="8560">
      <formula>O99="病"</formula>
    </cfRule>
  </conditionalFormatting>
  <conditionalFormatting sqref="S99">
    <cfRule type="expression" dxfId="5" priority="3685">
      <formula>S99="探"</formula>
    </cfRule>
    <cfRule type="expression" dxfId="4" priority="3686">
      <formula>S99="年"</formula>
    </cfRule>
    <cfRule type="expression" dxfId="3" priority="3687">
      <formula>S99="事"</formula>
    </cfRule>
    <cfRule type="expression" dxfId="2" priority="3688">
      <formula>S99="病"</formula>
    </cfRule>
  </conditionalFormatting>
  <conditionalFormatting sqref="V99">
    <cfRule type="expression" dxfId="5" priority="3677">
      <formula>V99="探"</formula>
    </cfRule>
    <cfRule type="expression" dxfId="4" priority="3678">
      <formula>V99="年"</formula>
    </cfRule>
    <cfRule type="expression" dxfId="3" priority="3679">
      <formula>V99="事"</formula>
    </cfRule>
    <cfRule type="expression" dxfId="2" priority="3680">
      <formula>V99="病"</formula>
    </cfRule>
  </conditionalFormatting>
  <conditionalFormatting sqref="X99:Y99">
    <cfRule type="expression" dxfId="5" priority="8373">
      <formula>X99="探"</formula>
    </cfRule>
    <cfRule type="expression" dxfId="4" priority="8374">
      <formula>X99="年"</formula>
    </cfRule>
    <cfRule type="expression" dxfId="3" priority="8375">
      <formula>X99="事"</formula>
    </cfRule>
    <cfRule type="expression" dxfId="2" priority="8376">
      <formula>X99="病"</formula>
    </cfRule>
  </conditionalFormatting>
  <conditionalFormatting sqref="Z99:AB99">
    <cfRule type="expression" dxfId="5" priority="7417">
      <formula>Z99="探"</formula>
    </cfRule>
    <cfRule type="expression" dxfId="4" priority="7418">
      <formula>Z99="年"</formula>
    </cfRule>
    <cfRule type="expression" dxfId="3" priority="7419">
      <formula>Z99="事"</formula>
    </cfRule>
    <cfRule type="expression" dxfId="2" priority="7420">
      <formula>Z99="病"</formula>
    </cfRule>
  </conditionalFormatting>
  <conditionalFormatting sqref="AC99:AE99">
    <cfRule type="expression" dxfId="5" priority="7413">
      <formula>AC99="探"</formula>
    </cfRule>
    <cfRule type="expression" dxfId="4" priority="7414">
      <formula>AC99="年"</formula>
    </cfRule>
    <cfRule type="expression" dxfId="3" priority="7415">
      <formula>AC99="事"</formula>
    </cfRule>
    <cfRule type="expression" dxfId="2" priority="7416">
      <formula>AC99="病"</formula>
    </cfRule>
  </conditionalFormatting>
  <conditionalFormatting sqref="K100:M100">
    <cfRule type="expression" dxfId="5" priority="5497">
      <formula>K100="探"</formula>
    </cfRule>
    <cfRule type="expression" dxfId="4" priority="5498">
      <formula>K100="年"</formula>
    </cfRule>
    <cfRule type="expression" dxfId="3" priority="5499">
      <formula>K100="事"</formula>
    </cfRule>
    <cfRule type="expression" dxfId="2" priority="5500">
      <formula>K100="病"</formula>
    </cfRule>
  </conditionalFormatting>
  <conditionalFormatting sqref="O100">
    <cfRule type="expression" dxfId="5" priority="3673">
      <formula>O100="探"</formula>
    </cfRule>
    <cfRule type="expression" dxfId="4" priority="3674">
      <formula>O100="年"</formula>
    </cfRule>
    <cfRule type="expression" dxfId="3" priority="3675">
      <formula>O100="事"</formula>
    </cfRule>
    <cfRule type="expression" dxfId="2" priority="3676">
      <formula>O100="病"</formula>
    </cfRule>
  </conditionalFormatting>
  <conditionalFormatting sqref="P100:Q100">
    <cfRule type="expression" dxfId="5" priority="3669">
      <formula>P100="探"</formula>
    </cfRule>
    <cfRule type="expression" dxfId="4" priority="3670">
      <formula>P100="年"</formula>
    </cfRule>
    <cfRule type="expression" dxfId="3" priority="3671">
      <formula>P100="事"</formula>
    </cfRule>
    <cfRule type="expression" dxfId="2" priority="3672">
      <formula>P100="病"</formula>
    </cfRule>
  </conditionalFormatting>
  <conditionalFormatting sqref="R100">
    <cfRule type="expression" dxfId="5" priority="3665">
      <formula>R100="探"</formula>
    </cfRule>
    <cfRule type="expression" dxfId="4" priority="3666">
      <formula>R100="年"</formula>
    </cfRule>
    <cfRule type="expression" dxfId="3" priority="3667">
      <formula>R100="事"</formula>
    </cfRule>
    <cfRule type="expression" dxfId="2" priority="3668">
      <formula>R100="病"</formula>
    </cfRule>
  </conditionalFormatting>
  <conditionalFormatting sqref="S100">
    <cfRule type="expression" dxfId="5" priority="3661">
      <formula>S100="探"</formula>
    </cfRule>
    <cfRule type="expression" dxfId="4" priority="3662">
      <formula>S100="年"</formula>
    </cfRule>
    <cfRule type="expression" dxfId="3" priority="3663">
      <formula>S100="事"</formula>
    </cfRule>
    <cfRule type="expression" dxfId="2" priority="3664">
      <formula>S100="病"</formula>
    </cfRule>
  </conditionalFormatting>
  <conditionalFormatting sqref="T100:U100">
    <cfRule type="expression" dxfId="5" priority="3657">
      <formula>T100="探"</formula>
    </cfRule>
    <cfRule type="expression" dxfId="4" priority="3658">
      <formula>T100="年"</formula>
    </cfRule>
    <cfRule type="expression" dxfId="3" priority="3659">
      <formula>T100="事"</formula>
    </cfRule>
    <cfRule type="expression" dxfId="2" priority="3660">
      <formula>T100="病"</formula>
    </cfRule>
  </conditionalFormatting>
  <conditionalFormatting sqref="V100">
    <cfRule type="expression" dxfId="5" priority="3653">
      <formula>V100="探"</formula>
    </cfRule>
    <cfRule type="expression" dxfId="4" priority="3654">
      <formula>V100="年"</formula>
    </cfRule>
    <cfRule type="expression" dxfId="3" priority="3655">
      <formula>V100="事"</formula>
    </cfRule>
    <cfRule type="expression" dxfId="2" priority="3656">
      <formula>V100="病"</formula>
    </cfRule>
  </conditionalFormatting>
  <conditionalFormatting sqref="W100">
    <cfRule type="expression" dxfId="5" priority="3649">
      <formula>W100="探"</formula>
    </cfRule>
    <cfRule type="expression" dxfId="4" priority="3650">
      <formula>W100="年"</formula>
    </cfRule>
    <cfRule type="expression" dxfId="3" priority="3651">
      <formula>W100="事"</formula>
    </cfRule>
    <cfRule type="expression" dxfId="2" priority="3652">
      <formula>W100="病"</formula>
    </cfRule>
  </conditionalFormatting>
  <conditionalFormatting sqref="X100:Y100">
    <cfRule type="expression" dxfId="5" priority="3645">
      <formula>X100="探"</formula>
    </cfRule>
    <cfRule type="expression" dxfId="4" priority="3646">
      <formula>X100="年"</formula>
    </cfRule>
    <cfRule type="expression" dxfId="3" priority="3647">
      <formula>X100="事"</formula>
    </cfRule>
    <cfRule type="expression" dxfId="2" priority="3648">
      <formula>X100="病"</formula>
    </cfRule>
  </conditionalFormatting>
  <conditionalFormatting sqref="AA100:AB100">
    <cfRule type="expression" dxfId="2" priority="1600">
      <formula>AA100="病"</formula>
    </cfRule>
    <cfRule type="expression" dxfId="3" priority="1599">
      <formula>AA100="事"</formula>
    </cfRule>
    <cfRule type="expression" dxfId="4" priority="1598">
      <formula>AA100="年"</formula>
    </cfRule>
    <cfRule type="expression" dxfId="5" priority="1597">
      <formula>AA100="探"</formula>
    </cfRule>
  </conditionalFormatting>
  <conditionalFormatting sqref="AC100">
    <cfRule type="expression" dxfId="2" priority="1604">
      <formula>AC100="病"</formula>
    </cfRule>
    <cfRule type="expression" dxfId="3" priority="1603">
      <formula>AC100="事"</formula>
    </cfRule>
    <cfRule type="expression" dxfId="4" priority="1602">
      <formula>AC100="年"</formula>
    </cfRule>
    <cfRule type="expression" dxfId="5" priority="1601">
      <formula>AC100="探"</formula>
    </cfRule>
  </conditionalFormatting>
  <conditionalFormatting sqref="AD100:AE100">
    <cfRule type="expression" dxfId="2" priority="1592">
      <formula>AD100="病"</formula>
    </cfRule>
    <cfRule type="expression" dxfId="3" priority="1591">
      <formula>AD100="事"</formula>
    </cfRule>
    <cfRule type="expression" dxfId="4" priority="1590">
      <formula>AD100="年"</formula>
    </cfRule>
    <cfRule type="expression" dxfId="5" priority="1589">
      <formula>AD100="探"</formula>
    </cfRule>
  </conditionalFormatting>
  <conditionalFormatting sqref="AG100:AH100">
    <cfRule type="expression" dxfId="2" priority="476">
      <formula>AG100="病"</formula>
    </cfRule>
    <cfRule type="expression" dxfId="3" priority="475">
      <formula>AG100="事"</formula>
    </cfRule>
    <cfRule type="expression" dxfId="4" priority="474">
      <formula>AG100="年"</formula>
    </cfRule>
    <cfRule type="expression" dxfId="5" priority="473">
      <formula>AG100="探"</formula>
    </cfRule>
  </conditionalFormatting>
  <conditionalFormatting sqref="AI100">
    <cfRule type="expression" dxfId="2" priority="480">
      <formula>AI100="病"</formula>
    </cfRule>
    <cfRule type="expression" dxfId="3" priority="479">
      <formula>AI100="事"</formula>
    </cfRule>
    <cfRule type="expression" dxfId="4" priority="478">
      <formula>AI100="年"</formula>
    </cfRule>
    <cfRule type="expression" dxfId="5" priority="477">
      <formula>AI100="探"</formula>
    </cfRule>
  </conditionalFormatting>
  <conditionalFormatting sqref="AJ100:AK100">
    <cfRule type="expression" dxfId="2" priority="472">
      <formula>AJ100="病"</formula>
    </cfRule>
    <cfRule type="expression" dxfId="3" priority="471">
      <formula>AJ100="事"</formula>
    </cfRule>
    <cfRule type="expression" dxfId="4" priority="470">
      <formula>AJ100="年"</formula>
    </cfRule>
    <cfRule type="expression" dxfId="5" priority="469">
      <formula>AJ100="探"</formula>
    </cfRule>
  </conditionalFormatting>
  <conditionalFormatting sqref="Y101">
    <cfRule type="expression" dxfId="5" priority="7425">
      <formula>Y101="探"</formula>
    </cfRule>
    <cfRule type="expression" dxfId="4" priority="7426">
      <formula>Y101="年"</formula>
    </cfRule>
    <cfRule type="expression" dxfId="3" priority="7427">
      <formula>Y101="事"</formula>
    </cfRule>
    <cfRule type="expression" dxfId="2" priority="7428">
      <formula>Y101="病"</formula>
    </cfRule>
  </conditionalFormatting>
  <conditionalFormatting sqref="Z101:AB101">
    <cfRule type="expression" dxfId="2" priority="1588">
      <formula>Z101="病"</formula>
    </cfRule>
    <cfRule type="expression" dxfId="3" priority="1587">
      <formula>Z101="事"</formula>
    </cfRule>
    <cfRule type="expression" dxfId="4" priority="1586">
      <formula>Z101="年"</formula>
    </cfRule>
    <cfRule type="expression" dxfId="5" priority="1585">
      <formula>Z101="探"</formula>
    </cfRule>
  </conditionalFormatting>
  <conditionalFormatting sqref="AC101">
    <cfRule type="expression" dxfId="2" priority="1584">
      <formula>AC101="病"</formula>
    </cfRule>
    <cfRule type="expression" dxfId="3" priority="1583">
      <formula>AC101="事"</formula>
    </cfRule>
    <cfRule type="expression" dxfId="4" priority="1582">
      <formula>AC101="年"</formula>
    </cfRule>
    <cfRule type="expression" dxfId="5" priority="1581">
      <formula>AC101="探"</formula>
    </cfRule>
  </conditionalFormatting>
  <conditionalFormatting sqref="AD101:AE101">
    <cfRule type="expression" dxfId="2" priority="1580">
      <formula>AD101="病"</formula>
    </cfRule>
    <cfRule type="expression" dxfId="3" priority="1579">
      <formula>AD101="事"</formula>
    </cfRule>
    <cfRule type="expression" dxfId="4" priority="1578">
      <formula>AD101="年"</formula>
    </cfRule>
    <cfRule type="expression" dxfId="5" priority="1577">
      <formula>AD101="探"</formula>
    </cfRule>
  </conditionalFormatting>
  <conditionalFormatting sqref="AF101">
    <cfRule type="expression" dxfId="2" priority="468">
      <formula>AF101="病"</formula>
    </cfRule>
    <cfRule type="expression" dxfId="3" priority="467">
      <formula>AF101="事"</formula>
    </cfRule>
    <cfRule type="expression" dxfId="4" priority="466">
      <formula>AF101="年"</formula>
    </cfRule>
    <cfRule type="expression" dxfId="5" priority="465">
      <formula>AF101="探"</formula>
    </cfRule>
  </conditionalFormatting>
  <conditionalFormatting sqref="AG101">
    <cfRule type="expression" dxfId="2" priority="464">
      <formula>AG101="病"</formula>
    </cfRule>
    <cfRule type="expression" dxfId="3" priority="463">
      <formula>AG101="事"</formula>
    </cfRule>
    <cfRule type="expression" dxfId="4" priority="462">
      <formula>AG101="年"</formula>
    </cfRule>
    <cfRule type="expression" dxfId="5" priority="461">
      <formula>AG101="探"</formula>
    </cfRule>
  </conditionalFormatting>
  <conditionalFormatting sqref="AH101:AI101">
    <cfRule type="expression" dxfId="2" priority="460">
      <formula>AH101="病"</formula>
    </cfRule>
    <cfRule type="expression" dxfId="3" priority="459">
      <formula>AH101="事"</formula>
    </cfRule>
    <cfRule type="expression" dxfId="4" priority="458">
      <formula>AH101="年"</formula>
    </cfRule>
    <cfRule type="expression" dxfId="5" priority="457">
      <formula>AH101="探"</formula>
    </cfRule>
  </conditionalFormatting>
  <conditionalFormatting sqref="AJ101">
    <cfRule type="expression" dxfId="2" priority="456">
      <formula>AJ101="病"</formula>
    </cfRule>
    <cfRule type="expression" dxfId="3" priority="455">
      <formula>AJ101="事"</formula>
    </cfRule>
    <cfRule type="expression" dxfId="4" priority="454">
      <formula>AJ101="年"</formula>
    </cfRule>
    <cfRule type="expression" dxfId="5" priority="453">
      <formula>AJ101="探"</formula>
    </cfRule>
  </conditionalFormatting>
  <conditionalFormatting sqref="AK101">
    <cfRule type="expression" dxfId="2" priority="452">
      <formula>AK101="病"</formula>
    </cfRule>
    <cfRule type="expression" dxfId="3" priority="451">
      <formula>AK101="事"</formula>
    </cfRule>
    <cfRule type="expression" dxfId="4" priority="450">
      <formula>AK101="年"</formula>
    </cfRule>
    <cfRule type="expression" dxfId="5" priority="449">
      <formula>AK101="探"</formula>
    </cfRule>
  </conditionalFormatting>
  <conditionalFormatting sqref="G102:H102">
    <cfRule type="expression" dxfId="5" priority="8965">
      <formula>G102="探"</formula>
    </cfRule>
    <cfRule type="expression" dxfId="4" priority="8966">
      <formula>G102="年"</formula>
    </cfRule>
    <cfRule type="expression" dxfId="3" priority="8967">
      <formula>G102="事"</formula>
    </cfRule>
    <cfRule type="expression" dxfId="2" priority="8968">
      <formula>G102="病"</formula>
    </cfRule>
  </conditionalFormatting>
  <conditionalFormatting sqref="I102:J102">
    <cfRule type="expression" dxfId="5" priority="8969">
      <formula>I102="探"</formula>
    </cfRule>
    <cfRule type="expression" dxfId="4" priority="8970">
      <formula>I102="年"</formula>
    </cfRule>
    <cfRule type="expression" dxfId="3" priority="8971">
      <formula>I102="事"</formula>
    </cfRule>
    <cfRule type="expression" dxfId="2" priority="8972">
      <formula>I102="病"</formula>
    </cfRule>
  </conditionalFormatting>
  <conditionalFormatting sqref="K102">
    <cfRule type="expression" dxfId="5" priority="5489">
      <formula>K102="探"</formula>
    </cfRule>
    <cfRule type="expression" dxfId="4" priority="5490">
      <formula>K102="年"</formula>
    </cfRule>
    <cfRule type="expression" dxfId="3" priority="5491">
      <formula>K102="事"</formula>
    </cfRule>
    <cfRule type="expression" dxfId="2" priority="5492">
      <formula>K102="病"</formula>
    </cfRule>
  </conditionalFormatting>
  <conditionalFormatting sqref="L102">
    <cfRule type="expression" dxfId="5" priority="5493">
      <formula>L102="探"</formula>
    </cfRule>
    <cfRule type="expression" dxfId="4" priority="5494">
      <formula>L102="年"</formula>
    </cfRule>
    <cfRule type="expression" dxfId="3" priority="5495">
      <formula>L102="事"</formula>
    </cfRule>
    <cfRule type="expression" dxfId="2" priority="5496">
      <formula>L102="病"</formula>
    </cfRule>
  </conditionalFormatting>
  <conditionalFormatting sqref="M102">
    <cfRule type="expression" dxfId="5" priority="5485">
      <formula>M102="探"</formula>
    </cfRule>
    <cfRule type="expression" dxfId="4" priority="5486">
      <formula>M102="年"</formula>
    </cfRule>
    <cfRule type="expression" dxfId="3" priority="5487">
      <formula>M102="事"</formula>
    </cfRule>
    <cfRule type="expression" dxfId="2" priority="5488">
      <formula>M102="病"</formula>
    </cfRule>
  </conditionalFormatting>
  <conditionalFormatting sqref="N102">
    <cfRule type="expression" dxfId="5" priority="5477">
      <formula>N102="探"</formula>
    </cfRule>
    <cfRule type="expression" dxfId="4" priority="5478">
      <formula>N102="年"</formula>
    </cfRule>
    <cfRule type="expression" dxfId="3" priority="5479">
      <formula>N102="事"</formula>
    </cfRule>
    <cfRule type="expression" dxfId="2" priority="5480">
      <formula>N102="病"</formula>
    </cfRule>
  </conditionalFormatting>
  <conditionalFormatting sqref="O102">
    <cfRule type="expression" dxfId="5" priority="5481">
      <formula>O102="探"</formula>
    </cfRule>
    <cfRule type="expression" dxfId="4" priority="5482">
      <formula>O102="年"</formula>
    </cfRule>
    <cfRule type="expression" dxfId="3" priority="5483">
      <formula>O102="事"</formula>
    </cfRule>
    <cfRule type="expression" dxfId="2" priority="5484">
      <formula>O102="病"</formula>
    </cfRule>
  </conditionalFormatting>
  <conditionalFormatting sqref="P102">
    <cfRule type="expression" dxfId="5" priority="3641">
      <formula>P102="探"</formula>
    </cfRule>
    <cfRule type="expression" dxfId="4" priority="3642">
      <formula>P102="年"</formula>
    </cfRule>
    <cfRule type="expression" dxfId="3" priority="3643">
      <formula>P102="事"</formula>
    </cfRule>
    <cfRule type="expression" dxfId="2" priority="3644">
      <formula>P102="病"</formula>
    </cfRule>
  </conditionalFormatting>
  <conditionalFormatting sqref="Q102">
    <cfRule type="expression" dxfId="5" priority="3633">
      <formula>Q102="探"</formula>
    </cfRule>
    <cfRule type="expression" dxfId="4" priority="3634">
      <formula>Q102="年"</formula>
    </cfRule>
    <cfRule type="expression" dxfId="3" priority="3635">
      <formula>Q102="事"</formula>
    </cfRule>
    <cfRule type="expression" dxfId="2" priority="3636">
      <formula>Q102="病"</formula>
    </cfRule>
  </conditionalFormatting>
  <conditionalFormatting sqref="R102">
    <cfRule type="expression" dxfId="5" priority="3637">
      <formula>R102="探"</formula>
    </cfRule>
    <cfRule type="expression" dxfId="4" priority="3638">
      <formula>R102="年"</formula>
    </cfRule>
    <cfRule type="expression" dxfId="3" priority="3639">
      <formula>R102="事"</formula>
    </cfRule>
    <cfRule type="expression" dxfId="2" priority="3640">
      <formula>R102="病"</formula>
    </cfRule>
  </conditionalFormatting>
  <conditionalFormatting sqref="S102">
    <cfRule type="expression" dxfId="5" priority="3629">
      <formula>S102="探"</formula>
    </cfRule>
    <cfRule type="expression" dxfId="4" priority="3630">
      <formula>S102="年"</formula>
    </cfRule>
    <cfRule type="expression" dxfId="3" priority="3631">
      <formula>S102="事"</formula>
    </cfRule>
    <cfRule type="expression" dxfId="2" priority="3632">
      <formula>S102="病"</formula>
    </cfRule>
  </conditionalFormatting>
  <conditionalFormatting sqref="T102">
    <cfRule type="expression" dxfId="5" priority="3621">
      <formula>T102="探"</formula>
    </cfRule>
    <cfRule type="expression" dxfId="4" priority="3622">
      <formula>T102="年"</formula>
    </cfRule>
    <cfRule type="expression" dxfId="3" priority="3623">
      <formula>T102="事"</formula>
    </cfRule>
    <cfRule type="expression" dxfId="2" priority="3624">
      <formula>T102="病"</formula>
    </cfRule>
  </conditionalFormatting>
  <conditionalFormatting sqref="U102">
    <cfRule type="expression" dxfId="5" priority="3625">
      <formula>U102="探"</formula>
    </cfRule>
    <cfRule type="expression" dxfId="4" priority="3626">
      <formula>U102="年"</formula>
    </cfRule>
    <cfRule type="expression" dxfId="3" priority="3627">
      <formula>U102="事"</formula>
    </cfRule>
    <cfRule type="expression" dxfId="2" priority="3628">
      <formula>U102="病"</formula>
    </cfRule>
  </conditionalFormatting>
  <conditionalFormatting sqref="V102">
    <cfRule type="expression" dxfId="5" priority="3617">
      <formula>V102="探"</formula>
    </cfRule>
    <cfRule type="expression" dxfId="4" priority="3618">
      <formula>V102="年"</formula>
    </cfRule>
    <cfRule type="expression" dxfId="3" priority="3619">
      <formula>V102="事"</formula>
    </cfRule>
    <cfRule type="expression" dxfId="2" priority="3620">
      <formula>V102="病"</formula>
    </cfRule>
  </conditionalFormatting>
  <conditionalFormatting sqref="W102">
    <cfRule type="expression" dxfId="5" priority="3609">
      <formula>W102="探"</formula>
    </cfRule>
    <cfRule type="expression" dxfId="4" priority="3610">
      <formula>W102="年"</formula>
    </cfRule>
    <cfRule type="expression" dxfId="3" priority="3611">
      <formula>W102="事"</formula>
    </cfRule>
    <cfRule type="expression" dxfId="2" priority="3612">
      <formula>W102="病"</formula>
    </cfRule>
  </conditionalFormatting>
  <conditionalFormatting sqref="X102">
    <cfRule type="expression" dxfId="5" priority="3613">
      <formula>X102="探"</formula>
    </cfRule>
    <cfRule type="expression" dxfId="4" priority="3614">
      <formula>X102="年"</formula>
    </cfRule>
    <cfRule type="expression" dxfId="3" priority="3615">
      <formula>X102="事"</formula>
    </cfRule>
    <cfRule type="expression" dxfId="2" priority="3616">
      <formula>X102="病"</formula>
    </cfRule>
  </conditionalFormatting>
  <conditionalFormatting sqref="Y102">
    <cfRule type="expression" dxfId="2" priority="1572">
      <formula>Y102="病"</formula>
    </cfRule>
    <cfRule type="expression" dxfId="3" priority="1571">
      <formula>Y102="事"</formula>
    </cfRule>
    <cfRule type="expression" dxfId="4" priority="1570">
      <formula>Y102="年"</formula>
    </cfRule>
    <cfRule type="expression" dxfId="5" priority="1569">
      <formula>Y102="探"</formula>
    </cfRule>
  </conditionalFormatting>
  <conditionalFormatting sqref="Z102">
    <cfRule type="expression" dxfId="2" priority="1564">
      <formula>Z102="病"</formula>
    </cfRule>
    <cfRule type="expression" dxfId="3" priority="1563">
      <formula>Z102="事"</formula>
    </cfRule>
    <cfRule type="expression" dxfId="4" priority="1562">
      <formula>Z102="年"</formula>
    </cfRule>
    <cfRule type="expression" dxfId="5" priority="1561">
      <formula>Z102="探"</formula>
    </cfRule>
  </conditionalFormatting>
  <conditionalFormatting sqref="AA102">
    <cfRule type="expression" dxfId="2" priority="1568">
      <formula>AA102="病"</formula>
    </cfRule>
    <cfRule type="expression" dxfId="3" priority="1567">
      <formula>AA102="事"</formula>
    </cfRule>
    <cfRule type="expression" dxfId="4" priority="1566">
      <formula>AA102="年"</formula>
    </cfRule>
    <cfRule type="expression" dxfId="5" priority="1565">
      <formula>AA102="探"</formula>
    </cfRule>
  </conditionalFormatting>
  <conditionalFormatting sqref="AB102">
    <cfRule type="expression" dxfId="2" priority="1560">
      <formula>AB102="病"</formula>
    </cfRule>
    <cfRule type="expression" dxfId="3" priority="1559">
      <formula>AB102="事"</formula>
    </cfRule>
    <cfRule type="expression" dxfId="4" priority="1558">
      <formula>AB102="年"</formula>
    </cfRule>
    <cfRule type="expression" dxfId="5" priority="1557">
      <formula>AB102="探"</formula>
    </cfRule>
  </conditionalFormatting>
  <conditionalFormatting sqref="AC102">
    <cfRule type="expression" dxfId="2" priority="1552">
      <formula>AC102="病"</formula>
    </cfRule>
    <cfRule type="expression" dxfId="3" priority="1551">
      <formula>AC102="事"</formula>
    </cfRule>
    <cfRule type="expression" dxfId="4" priority="1550">
      <formula>AC102="年"</formula>
    </cfRule>
    <cfRule type="expression" dxfId="5" priority="1549">
      <formula>AC102="探"</formula>
    </cfRule>
  </conditionalFormatting>
  <conditionalFormatting sqref="AD102">
    <cfRule type="expression" dxfId="2" priority="1556">
      <formula>AD102="病"</formula>
    </cfRule>
    <cfRule type="expression" dxfId="3" priority="1555">
      <formula>AD102="事"</formula>
    </cfRule>
    <cfRule type="expression" dxfId="4" priority="1554">
      <formula>AD102="年"</formula>
    </cfRule>
    <cfRule type="expression" dxfId="5" priority="1553">
      <formula>AD102="探"</formula>
    </cfRule>
  </conditionalFormatting>
  <conditionalFormatting sqref="AE102">
    <cfRule type="expression" dxfId="2" priority="1548">
      <formula>AE102="病"</formula>
    </cfRule>
    <cfRule type="expression" dxfId="3" priority="1547">
      <formula>AE102="事"</formula>
    </cfRule>
    <cfRule type="expression" dxfId="4" priority="1546">
      <formula>AE102="年"</formula>
    </cfRule>
    <cfRule type="expression" dxfId="5" priority="1545">
      <formula>AE102="探"</formula>
    </cfRule>
  </conditionalFormatting>
  <conditionalFormatting sqref="AF102">
    <cfRule type="expression" dxfId="2" priority="1540">
      <formula>AF102="病"</formula>
    </cfRule>
    <cfRule type="expression" dxfId="3" priority="1539">
      <formula>AF102="事"</formula>
    </cfRule>
    <cfRule type="expression" dxfId="4" priority="1538">
      <formula>AF102="年"</formula>
    </cfRule>
    <cfRule type="expression" dxfId="5" priority="1537">
      <formula>AF102="探"</formula>
    </cfRule>
  </conditionalFormatting>
  <conditionalFormatting sqref="AG102">
    <cfRule type="expression" dxfId="2" priority="1544">
      <formula>AG102="病"</formula>
    </cfRule>
    <cfRule type="expression" dxfId="3" priority="1543">
      <formula>AG102="事"</formula>
    </cfRule>
    <cfRule type="expression" dxfId="4" priority="1542">
      <formula>AG102="年"</formula>
    </cfRule>
    <cfRule type="expression" dxfId="5" priority="1541">
      <formula>AG102="探"</formula>
    </cfRule>
  </conditionalFormatting>
  <conditionalFormatting sqref="AH102">
    <cfRule type="expression" dxfId="2" priority="448">
      <formula>AH102="病"</formula>
    </cfRule>
    <cfRule type="expression" dxfId="3" priority="447">
      <formula>AH102="事"</formula>
    </cfRule>
    <cfRule type="expression" dxfId="4" priority="446">
      <formula>AH102="年"</formula>
    </cfRule>
    <cfRule type="expression" dxfId="5" priority="445">
      <formula>AH102="探"</formula>
    </cfRule>
  </conditionalFormatting>
  <conditionalFormatting sqref="AI102">
    <cfRule type="expression" dxfId="2" priority="440">
      <formula>AI102="病"</formula>
    </cfRule>
    <cfRule type="expression" dxfId="3" priority="439">
      <formula>AI102="事"</formula>
    </cfRule>
    <cfRule type="expression" dxfId="4" priority="438">
      <formula>AI102="年"</formula>
    </cfRule>
    <cfRule type="expression" dxfId="5" priority="437">
      <formula>AI102="探"</formula>
    </cfRule>
  </conditionalFormatting>
  <conditionalFormatting sqref="AJ102">
    <cfRule type="expression" dxfId="2" priority="444">
      <formula>AJ102="病"</formula>
    </cfRule>
    <cfRule type="expression" dxfId="3" priority="443">
      <formula>AJ102="事"</formula>
    </cfRule>
    <cfRule type="expression" dxfId="4" priority="442">
      <formula>AJ102="年"</formula>
    </cfRule>
    <cfRule type="expression" dxfId="5" priority="441">
      <formula>AJ102="探"</formula>
    </cfRule>
  </conditionalFormatting>
  <conditionalFormatting sqref="AK102">
    <cfRule type="expression" dxfId="5" priority="6673">
      <formula>AK102="探"</formula>
    </cfRule>
    <cfRule type="expression" dxfId="4" priority="6674">
      <formula>AK102="年"</formula>
    </cfRule>
    <cfRule type="expression" dxfId="3" priority="6675">
      <formula>AK102="事"</formula>
    </cfRule>
    <cfRule type="expression" dxfId="2" priority="6676">
      <formula>AK102="病"</formula>
    </cfRule>
  </conditionalFormatting>
  <conditionalFormatting sqref="H103:J103">
    <cfRule type="expression" dxfId="5" priority="8789">
      <formula>H103="探"</formula>
    </cfRule>
    <cfRule type="expression" dxfId="4" priority="8790">
      <formula>H103="年"</formula>
    </cfRule>
    <cfRule type="expression" dxfId="3" priority="8791">
      <formula>H103="事"</formula>
    </cfRule>
    <cfRule type="expression" dxfId="2" priority="8792">
      <formula>H103="病"</formula>
    </cfRule>
  </conditionalFormatting>
  <conditionalFormatting sqref="K103">
    <cfRule type="expression" dxfId="5" priority="5473">
      <formula>K103="探"</formula>
    </cfRule>
    <cfRule type="expression" dxfId="4" priority="5474">
      <formula>K103="年"</formula>
    </cfRule>
    <cfRule type="expression" dxfId="3" priority="5475">
      <formula>K103="事"</formula>
    </cfRule>
    <cfRule type="expression" dxfId="2" priority="5476">
      <formula>K103="病"</formula>
    </cfRule>
  </conditionalFormatting>
  <conditionalFormatting sqref="L103">
    <cfRule type="expression" dxfId="5" priority="5469">
      <formula>L103="探"</formula>
    </cfRule>
    <cfRule type="expression" dxfId="4" priority="5470">
      <formula>L103="年"</formula>
    </cfRule>
    <cfRule type="expression" dxfId="3" priority="5471">
      <formula>L103="事"</formula>
    </cfRule>
    <cfRule type="expression" dxfId="2" priority="5472">
      <formula>L103="病"</formula>
    </cfRule>
  </conditionalFormatting>
  <conditionalFormatting sqref="M103:N103">
    <cfRule type="expression" dxfId="5" priority="5465">
      <formula>M103="探"</formula>
    </cfRule>
    <cfRule type="expression" dxfId="4" priority="5466">
      <formula>M103="年"</formula>
    </cfRule>
    <cfRule type="expression" dxfId="3" priority="5467">
      <formula>M103="事"</formula>
    </cfRule>
    <cfRule type="expression" dxfId="2" priority="5468">
      <formula>M103="病"</formula>
    </cfRule>
  </conditionalFormatting>
  <conditionalFormatting sqref="O103">
    <cfRule type="expression" dxfId="5" priority="3593">
      <formula>O103="探"</formula>
    </cfRule>
    <cfRule type="expression" dxfId="4" priority="3594">
      <formula>O103="年"</formula>
    </cfRule>
    <cfRule type="expression" dxfId="3" priority="3595">
      <formula>O103="事"</formula>
    </cfRule>
    <cfRule type="expression" dxfId="2" priority="3596">
      <formula>O103="病"</formula>
    </cfRule>
  </conditionalFormatting>
  <conditionalFormatting sqref="P103">
    <cfRule type="expression" dxfId="5" priority="3589">
      <formula>P103="探"</formula>
    </cfRule>
    <cfRule type="expression" dxfId="4" priority="3590">
      <formula>P103="年"</formula>
    </cfRule>
    <cfRule type="expression" dxfId="3" priority="3591">
      <formula>P103="事"</formula>
    </cfRule>
    <cfRule type="expression" dxfId="2" priority="3592">
      <formula>P103="病"</formula>
    </cfRule>
  </conditionalFormatting>
  <conditionalFormatting sqref="Q103:R103">
    <cfRule type="expression" dxfId="5" priority="8841">
      <formula>Q103="探"</formula>
    </cfRule>
    <cfRule type="expression" dxfId="4" priority="8842">
      <formula>Q103="年"</formula>
    </cfRule>
    <cfRule type="expression" dxfId="3" priority="8843">
      <formula>Q103="事"</formula>
    </cfRule>
    <cfRule type="expression" dxfId="2" priority="8844">
      <formula>Q103="病"</formula>
    </cfRule>
  </conditionalFormatting>
  <conditionalFormatting sqref="V103:X103">
    <cfRule type="expression" dxfId="2" priority="1536">
      <formula>V103="病"</formula>
    </cfRule>
    <cfRule type="expression" dxfId="3" priority="1535">
      <formula>V103="事"</formula>
    </cfRule>
    <cfRule type="expression" dxfId="4" priority="1534">
      <formula>V103="年"</formula>
    </cfRule>
    <cfRule type="expression" dxfId="5" priority="1533">
      <formula>V103="探"</formula>
    </cfRule>
  </conditionalFormatting>
  <conditionalFormatting sqref="Y103">
    <cfRule type="expression" dxfId="2" priority="1532">
      <formula>Y103="病"</formula>
    </cfRule>
    <cfRule type="expression" dxfId="3" priority="1531">
      <formula>Y103="事"</formula>
    </cfRule>
    <cfRule type="expression" dxfId="4" priority="1530">
      <formula>Y103="年"</formula>
    </cfRule>
    <cfRule type="expression" dxfId="5" priority="1529">
      <formula>Y103="探"</formula>
    </cfRule>
  </conditionalFormatting>
  <conditionalFormatting sqref="Z103:AB103">
    <cfRule type="expression" dxfId="2" priority="1528">
      <formula>Z103="病"</formula>
    </cfRule>
    <cfRule type="expression" dxfId="3" priority="1527">
      <formula>Z103="事"</formula>
    </cfRule>
    <cfRule type="expression" dxfId="4" priority="1526">
      <formula>Z103="年"</formula>
    </cfRule>
    <cfRule type="expression" dxfId="5" priority="1525">
      <formula>Z103="探"</formula>
    </cfRule>
  </conditionalFormatting>
  <conditionalFormatting sqref="AC103">
    <cfRule type="expression" dxfId="2" priority="1524">
      <formula>AC103="病"</formula>
    </cfRule>
    <cfRule type="expression" dxfId="3" priority="1523">
      <formula>AC103="事"</formula>
    </cfRule>
    <cfRule type="expression" dxfId="4" priority="1522">
      <formula>AC103="年"</formula>
    </cfRule>
    <cfRule type="expression" dxfId="5" priority="1521">
      <formula>AC103="探"</formula>
    </cfRule>
  </conditionalFormatting>
  <conditionalFormatting sqref="AD103:AE103">
    <cfRule type="expression" dxfId="2" priority="1520">
      <formula>AD103="病"</formula>
    </cfRule>
    <cfRule type="expression" dxfId="3" priority="1519">
      <formula>AD103="事"</formula>
    </cfRule>
    <cfRule type="expression" dxfId="4" priority="1518">
      <formula>AD103="年"</formula>
    </cfRule>
    <cfRule type="expression" dxfId="5" priority="1517">
      <formula>AD103="探"</formula>
    </cfRule>
  </conditionalFormatting>
  <conditionalFormatting sqref="AH103:AI103">
    <cfRule type="expression" dxfId="2" priority="432">
      <formula>AH103="病"</formula>
    </cfRule>
    <cfRule type="expression" dxfId="3" priority="431">
      <formula>AH103="事"</formula>
    </cfRule>
    <cfRule type="expression" dxfId="4" priority="430">
      <formula>AH103="年"</formula>
    </cfRule>
    <cfRule type="expression" dxfId="5" priority="429">
      <formula>AH103="探"</formula>
    </cfRule>
  </conditionalFormatting>
  <conditionalFormatting sqref="AJ103:AK103">
    <cfRule type="expression" dxfId="2" priority="436">
      <formula>AJ103="病"</formula>
    </cfRule>
    <cfRule type="expression" dxfId="3" priority="435">
      <formula>AJ103="事"</formula>
    </cfRule>
    <cfRule type="expression" dxfId="4" priority="434">
      <formula>AJ103="年"</formula>
    </cfRule>
    <cfRule type="expression" dxfId="5" priority="433">
      <formula>AJ103="探"</formula>
    </cfRule>
  </conditionalFormatting>
  <conditionalFormatting sqref="G104:I104">
    <cfRule type="expression" dxfId="5" priority="8961">
      <formula>G104="探"</formula>
    </cfRule>
    <cfRule type="expression" dxfId="4" priority="8962">
      <formula>G104="年"</formula>
    </cfRule>
    <cfRule type="expression" dxfId="3" priority="8963">
      <formula>G104="事"</formula>
    </cfRule>
    <cfRule type="expression" dxfId="2" priority="8964">
      <formula>G104="病"</formula>
    </cfRule>
  </conditionalFormatting>
  <conditionalFormatting sqref="M104">
    <cfRule type="expression" dxfId="5" priority="8549">
      <formula>M104="探"</formula>
    </cfRule>
    <cfRule type="expression" dxfId="4" priority="8550">
      <formula>M104="年"</formula>
    </cfRule>
    <cfRule type="expression" dxfId="3" priority="8551">
      <formula>M104="事"</formula>
    </cfRule>
    <cfRule type="expression" dxfId="2" priority="8552">
      <formula>M104="病"</formula>
    </cfRule>
  </conditionalFormatting>
  <conditionalFormatting sqref="N104">
    <cfRule type="expression" dxfId="5" priority="8553">
      <formula>N104="探"</formula>
    </cfRule>
    <cfRule type="expression" dxfId="4" priority="8554">
      <formula>N104="年"</formula>
    </cfRule>
    <cfRule type="expression" dxfId="3" priority="8555">
      <formula>N104="事"</formula>
    </cfRule>
    <cfRule type="expression" dxfId="2" priority="8556">
      <formula>N104="病"</formula>
    </cfRule>
  </conditionalFormatting>
  <conditionalFormatting sqref="O104:P104">
    <cfRule type="expression" dxfId="5" priority="8545">
      <formula>O104="探"</formula>
    </cfRule>
    <cfRule type="expression" dxfId="4" priority="8546">
      <formula>O104="年"</formula>
    </cfRule>
    <cfRule type="expression" dxfId="3" priority="8547">
      <formula>O104="事"</formula>
    </cfRule>
    <cfRule type="expression" dxfId="2" priority="8548">
      <formula>O104="病"</formula>
    </cfRule>
  </conditionalFormatting>
  <conditionalFormatting sqref="Q104">
    <cfRule type="expression" dxfId="5" priority="3585">
      <formula>Q104="探"</formula>
    </cfRule>
    <cfRule type="expression" dxfId="4" priority="3586">
      <formula>Q104="年"</formula>
    </cfRule>
    <cfRule type="expression" dxfId="3" priority="3587">
      <formula>Q104="事"</formula>
    </cfRule>
    <cfRule type="expression" dxfId="2" priority="3588">
      <formula>Q104="病"</formula>
    </cfRule>
  </conditionalFormatting>
  <conditionalFormatting sqref="R104:S104">
    <cfRule type="expression" dxfId="5" priority="3581">
      <formula>R104="探"</formula>
    </cfRule>
    <cfRule type="expression" dxfId="4" priority="3582">
      <formula>R104="年"</formula>
    </cfRule>
    <cfRule type="expression" dxfId="3" priority="3583">
      <formula>R104="事"</formula>
    </cfRule>
    <cfRule type="expression" dxfId="2" priority="3584">
      <formula>R104="病"</formula>
    </cfRule>
  </conditionalFormatting>
  <conditionalFormatting sqref="T104">
    <cfRule type="expression" dxfId="5" priority="3577">
      <formula>T104="探"</formula>
    </cfRule>
    <cfRule type="expression" dxfId="4" priority="3578">
      <formula>T104="年"</formula>
    </cfRule>
    <cfRule type="expression" dxfId="3" priority="3579">
      <formula>T104="事"</formula>
    </cfRule>
    <cfRule type="expression" dxfId="2" priority="3580">
      <formula>T104="病"</formula>
    </cfRule>
  </conditionalFormatting>
  <conditionalFormatting sqref="U104:V104">
    <cfRule type="expression" dxfId="5" priority="3573">
      <formula>U104="探"</formula>
    </cfRule>
    <cfRule type="expression" dxfId="4" priority="3574">
      <formula>U104="年"</formula>
    </cfRule>
    <cfRule type="expression" dxfId="3" priority="3575">
      <formula>U104="事"</formula>
    </cfRule>
    <cfRule type="expression" dxfId="2" priority="3576">
      <formula>U104="病"</formula>
    </cfRule>
  </conditionalFormatting>
  <conditionalFormatting sqref="W104">
    <cfRule type="expression" dxfId="5" priority="3569">
      <formula>W104="探"</formula>
    </cfRule>
    <cfRule type="expression" dxfId="4" priority="3570">
      <formula>W104="年"</formula>
    </cfRule>
    <cfRule type="expression" dxfId="3" priority="3571">
      <formula>W104="事"</formula>
    </cfRule>
    <cfRule type="expression" dxfId="2" priority="3572">
      <formula>W104="病"</formula>
    </cfRule>
  </conditionalFormatting>
  <conditionalFormatting sqref="K105:L105">
    <cfRule type="expression" dxfId="5" priority="5457">
      <formula>K105="探"</formula>
    </cfRule>
    <cfRule type="expression" dxfId="4" priority="5458">
      <formula>K105="年"</formula>
    </cfRule>
    <cfRule type="expression" dxfId="3" priority="5459">
      <formula>K105="事"</formula>
    </cfRule>
    <cfRule type="expression" dxfId="2" priority="5460">
      <formula>K105="病"</formula>
    </cfRule>
  </conditionalFormatting>
  <conditionalFormatting sqref="M105:N105">
    <cfRule type="expression" dxfId="5" priority="5461">
      <formula>M105="探"</formula>
    </cfRule>
    <cfRule type="expression" dxfId="4" priority="5462">
      <formula>M105="年"</formula>
    </cfRule>
    <cfRule type="expression" dxfId="3" priority="5463">
      <formula>M105="事"</formula>
    </cfRule>
    <cfRule type="expression" dxfId="2" priority="5464">
      <formula>M105="病"</formula>
    </cfRule>
  </conditionalFormatting>
  <conditionalFormatting sqref="O105:P105">
    <cfRule type="expression" dxfId="5" priority="3557">
      <formula>O105="探"</formula>
    </cfRule>
    <cfRule type="expression" dxfId="4" priority="3558">
      <formula>O105="年"</formula>
    </cfRule>
    <cfRule type="expression" dxfId="3" priority="3559">
      <formula>O105="事"</formula>
    </cfRule>
    <cfRule type="expression" dxfId="2" priority="3560">
      <formula>O105="病"</formula>
    </cfRule>
  </conditionalFormatting>
  <conditionalFormatting sqref="Q105:R105">
    <cfRule type="expression" dxfId="5" priority="3561">
      <formula>Q105="探"</formula>
    </cfRule>
    <cfRule type="expression" dxfId="4" priority="3562">
      <formula>Q105="年"</formula>
    </cfRule>
    <cfRule type="expression" dxfId="3" priority="3563">
      <formula>Q105="事"</formula>
    </cfRule>
    <cfRule type="expression" dxfId="2" priority="3564">
      <formula>Q105="病"</formula>
    </cfRule>
  </conditionalFormatting>
  <conditionalFormatting sqref="S105:T105">
    <cfRule type="expression" dxfId="5" priority="3549">
      <formula>S105="探"</formula>
    </cfRule>
    <cfRule type="expression" dxfId="4" priority="3550">
      <formula>S105="年"</formula>
    </cfRule>
    <cfRule type="expression" dxfId="3" priority="3551">
      <formula>S105="事"</formula>
    </cfRule>
    <cfRule type="expression" dxfId="2" priority="3552">
      <formula>S105="病"</formula>
    </cfRule>
  </conditionalFormatting>
  <conditionalFormatting sqref="U105:V105">
    <cfRule type="expression" dxfId="5" priority="3553">
      <formula>U105="探"</formula>
    </cfRule>
    <cfRule type="expression" dxfId="4" priority="3554">
      <formula>U105="年"</formula>
    </cfRule>
    <cfRule type="expression" dxfId="3" priority="3555">
      <formula>U105="事"</formula>
    </cfRule>
    <cfRule type="expression" dxfId="2" priority="3556">
      <formula>U105="病"</formula>
    </cfRule>
  </conditionalFormatting>
  <conditionalFormatting sqref="W105:X105">
    <cfRule type="expression" dxfId="5" priority="3541">
      <formula>W105="探"</formula>
    </cfRule>
    <cfRule type="expression" dxfId="4" priority="3542">
      <formula>W105="年"</formula>
    </cfRule>
    <cfRule type="expression" dxfId="3" priority="3543">
      <formula>W105="事"</formula>
    </cfRule>
    <cfRule type="expression" dxfId="2" priority="3544">
      <formula>W105="病"</formula>
    </cfRule>
  </conditionalFormatting>
  <conditionalFormatting sqref="G106:H106">
    <cfRule type="expression" dxfId="5" priority="5449">
      <formula>G106="探"</formula>
    </cfRule>
    <cfRule type="expression" dxfId="4" priority="5450">
      <formula>G106="年"</formula>
    </cfRule>
    <cfRule type="expression" dxfId="3" priority="5451">
      <formula>G106="事"</formula>
    </cfRule>
    <cfRule type="expression" dxfId="2" priority="5452">
      <formula>G106="病"</formula>
    </cfRule>
  </conditionalFormatting>
  <conditionalFormatting sqref="I106:J106">
    <cfRule type="expression" dxfId="5" priority="5453">
      <formula>I106="探"</formula>
    </cfRule>
    <cfRule type="expression" dxfId="4" priority="5454">
      <formula>I106="年"</formula>
    </cfRule>
    <cfRule type="expression" dxfId="3" priority="5455">
      <formula>I106="事"</formula>
    </cfRule>
    <cfRule type="expression" dxfId="2" priority="5456">
      <formula>I106="病"</formula>
    </cfRule>
  </conditionalFormatting>
  <conditionalFormatting sqref="K106">
    <cfRule type="expression" dxfId="5" priority="5441">
      <formula>K106="探"</formula>
    </cfRule>
    <cfRule type="expression" dxfId="4" priority="5442">
      <formula>K106="年"</formula>
    </cfRule>
    <cfRule type="expression" dxfId="3" priority="5443">
      <formula>K106="事"</formula>
    </cfRule>
    <cfRule type="expression" dxfId="2" priority="5444">
      <formula>K106="病"</formula>
    </cfRule>
  </conditionalFormatting>
  <conditionalFormatting sqref="L106">
    <cfRule type="expression" dxfId="5" priority="5445">
      <formula>L106="探"</formula>
    </cfRule>
    <cfRule type="expression" dxfId="4" priority="5446">
      <formula>L106="年"</formula>
    </cfRule>
    <cfRule type="expression" dxfId="3" priority="5447">
      <formula>L106="事"</formula>
    </cfRule>
    <cfRule type="expression" dxfId="2" priority="5448">
      <formula>L106="病"</formula>
    </cfRule>
  </conditionalFormatting>
  <conditionalFormatting sqref="M106">
    <cfRule type="expression" dxfId="5" priority="5437">
      <formula>M106="探"</formula>
    </cfRule>
    <cfRule type="expression" dxfId="4" priority="5438">
      <formula>M106="年"</formula>
    </cfRule>
    <cfRule type="expression" dxfId="3" priority="5439">
      <formula>M106="事"</formula>
    </cfRule>
    <cfRule type="expression" dxfId="2" priority="5440">
      <formula>M106="病"</formula>
    </cfRule>
  </conditionalFormatting>
  <conditionalFormatting sqref="N106">
    <cfRule type="expression" dxfId="5" priority="5429">
      <formula>N106="探"</formula>
    </cfRule>
    <cfRule type="expression" dxfId="4" priority="5430">
      <formula>N106="年"</formula>
    </cfRule>
    <cfRule type="expression" dxfId="3" priority="5431">
      <formula>N106="事"</formula>
    </cfRule>
    <cfRule type="expression" dxfId="2" priority="5432">
      <formula>N106="病"</formula>
    </cfRule>
  </conditionalFormatting>
  <conditionalFormatting sqref="O106">
    <cfRule type="expression" dxfId="5" priority="5433">
      <formula>O106="探"</formula>
    </cfRule>
    <cfRule type="expression" dxfId="4" priority="5434">
      <formula>O106="年"</formula>
    </cfRule>
    <cfRule type="expression" dxfId="3" priority="5435">
      <formula>O106="事"</formula>
    </cfRule>
    <cfRule type="expression" dxfId="2" priority="5436">
      <formula>O106="病"</formula>
    </cfRule>
  </conditionalFormatting>
  <conditionalFormatting sqref="P106:Q106">
    <cfRule type="expression" dxfId="5" priority="3533">
      <formula>P106="探"</formula>
    </cfRule>
    <cfRule type="expression" dxfId="4" priority="3534">
      <formula>P106="年"</formula>
    </cfRule>
    <cfRule type="expression" dxfId="3" priority="3535">
      <formula>P106="事"</formula>
    </cfRule>
    <cfRule type="expression" dxfId="2" priority="3536">
      <formula>P106="病"</formula>
    </cfRule>
  </conditionalFormatting>
  <conditionalFormatting sqref="R106:S106">
    <cfRule type="expression" dxfId="5" priority="3537">
      <formula>R106="探"</formula>
    </cfRule>
    <cfRule type="expression" dxfId="4" priority="3538">
      <formula>R106="年"</formula>
    </cfRule>
    <cfRule type="expression" dxfId="3" priority="3539">
      <formula>R106="事"</formula>
    </cfRule>
    <cfRule type="expression" dxfId="2" priority="3540">
      <formula>R106="病"</formula>
    </cfRule>
  </conditionalFormatting>
  <conditionalFormatting sqref="T106">
    <cfRule type="expression" dxfId="5" priority="3525">
      <formula>T106="探"</formula>
    </cfRule>
    <cfRule type="expression" dxfId="4" priority="3526">
      <formula>T106="年"</formula>
    </cfRule>
    <cfRule type="expression" dxfId="3" priority="3527">
      <formula>T106="事"</formula>
    </cfRule>
    <cfRule type="expression" dxfId="2" priority="3528">
      <formula>T106="病"</formula>
    </cfRule>
  </conditionalFormatting>
  <conditionalFormatting sqref="U106">
    <cfRule type="expression" dxfId="5" priority="3529">
      <formula>U106="探"</formula>
    </cfRule>
    <cfRule type="expression" dxfId="4" priority="3530">
      <formula>U106="年"</formula>
    </cfRule>
    <cfRule type="expression" dxfId="3" priority="3531">
      <formula>U106="事"</formula>
    </cfRule>
    <cfRule type="expression" dxfId="2" priority="3532">
      <formula>U106="病"</formula>
    </cfRule>
  </conditionalFormatting>
  <conditionalFormatting sqref="V106:W106">
    <cfRule type="expression" dxfId="5" priority="3517">
      <formula>V106="探"</formula>
    </cfRule>
    <cfRule type="expression" dxfId="4" priority="3518">
      <formula>V106="年"</formula>
    </cfRule>
    <cfRule type="expression" dxfId="3" priority="3519">
      <formula>V106="事"</formula>
    </cfRule>
    <cfRule type="expression" dxfId="2" priority="3520">
      <formula>V106="病"</formula>
    </cfRule>
  </conditionalFormatting>
  <conditionalFormatting sqref="X106:Y106">
    <cfRule type="expression" dxfId="5" priority="3521">
      <formula>X106="探"</formula>
    </cfRule>
    <cfRule type="expression" dxfId="4" priority="3522">
      <formula>X106="年"</formula>
    </cfRule>
    <cfRule type="expression" dxfId="3" priority="3523">
      <formula>X106="事"</formula>
    </cfRule>
    <cfRule type="expression" dxfId="2" priority="3524">
      <formula>X106="病"</formula>
    </cfRule>
  </conditionalFormatting>
  <conditionalFormatting sqref="Z106">
    <cfRule type="expression" dxfId="5" priority="3509">
      <formula>Z106="探"</formula>
    </cfRule>
    <cfRule type="expression" dxfId="4" priority="3510">
      <formula>Z106="年"</formula>
    </cfRule>
    <cfRule type="expression" dxfId="3" priority="3511">
      <formula>Z106="事"</formula>
    </cfRule>
    <cfRule type="expression" dxfId="2" priority="3512">
      <formula>Z106="病"</formula>
    </cfRule>
  </conditionalFormatting>
  <conditionalFormatting sqref="AA106">
    <cfRule type="expression" dxfId="5" priority="3513">
      <formula>AA106="探"</formula>
    </cfRule>
    <cfRule type="expression" dxfId="4" priority="3514">
      <formula>AA106="年"</formula>
    </cfRule>
    <cfRule type="expression" dxfId="3" priority="3515">
      <formula>AA106="事"</formula>
    </cfRule>
    <cfRule type="expression" dxfId="2" priority="3516">
      <formula>AA106="病"</formula>
    </cfRule>
  </conditionalFormatting>
  <conditionalFormatting sqref="AB106">
    <cfRule type="expression" dxfId="5" priority="7493">
      <formula>AB106="探"</formula>
    </cfRule>
    <cfRule type="expression" dxfId="4" priority="7494">
      <formula>AB106="年"</formula>
    </cfRule>
    <cfRule type="expression" dxfId="3" priority="7495">
      <formula>AB106="事"</formula>
    </cfRule>
    <cfRule type="expression" dxfId="2" priority="7496">
      <formula>AB106="病"</formula>
    </cfRule>
  </conditionalFormatting>
  <conditionalFormatting sqref="AC106">
    <cfRule type="expression" dxfId="5" priority="7489">
      <formula>AC106="探"</formula>
    </cfRule>
    <cfRule type="expression" dxfId="4" priority="7490">
      <formula>AC106="年"</formula>
    </cfRule>
    <cfRule type="expression" dxfId="3" priority="7491">
      <formula>AC106="事"</formula>
    </cfRule>
    <cfRule type="expression" dxfId="2" priority="7492">
      <formula>AC106="病"</formula>
    </cfRule>
  </conditionalFormatting>
  <conditionalFormatting sqref="AD106:AE106">
    <cfRule type="expression" dxfId="5" priority="7485">
      <formula>AD106="探"</formula>
    </cfRule>
    <cfRule type="expression" dxfId="4" priority="7486">
      <formula>AD106="年"</formula>
    </cfRule>
    <cfRule type="expression" dxfId="3" priority="7487">
      <formula>AD106="事"</formula>
    </cfRule>
    <cfRule type="expression" dxfId="2" priority="7488">
      <formula>AD106="病"</formula>
    </cfRule>
  </conditionalFormatting>
  <conditionalFormatting sqref="AF106">
    <cfRule type="expression" dxfId="2" priority="412">
      <formula>AF106="病"</formula>
    </cfRule>
    <cfRule type="expression" dxfId="3" priority="411">
      <formula>AF106="事"</formula>
    </cfRule>
    <cfRule type="expression" dxfId="4" priority="410">
      <formula>AF106="年"</formula>
    </cfRule>
    <cfRule type="expression" dxfId="5" priority="409">
      <formula>AF106="探"</formula>
    </cfRule>
  </conditionalFormatting>
  <conditionalFormatting sqref="AG106:AH106">
    <cfRule type="expression" dxfId="2" priority="408">
      <formula>AG106="病"</formula>
    </cfRule>
    <cfRule type="expression" dxfId="3" priority="407">
      <formula>AG106="事"</formula>
    </cfRule>
    <cfRule type="expression" dxfId="4" priority="406">
      <formula>AG106="年"</formula>
    </cfRule>
    <cfRule type="expression" dxfId="5" priority="405">
      <formula>AG106="探"</formula>
    </cfRule>
  </conditionalFormatting>
  <conditionalFormatting sqref="AI106">
    <cfRule type="expression" dxfId="2" priority="416">
      <formula>AI106="病"</formula>
    </cfRule>
    <cfRule type="expression" dxfId="3" priority="415">
      <formula>AI106="事"</formula>
    </cfRule>
    <cfRule type="expression" dxfId="4" priority="414">
      <formula>AI106="年"</formula>
    </cfRule>
    <cfRule type="expression" dxfId="5" priority="413">
      <formula>AI106="探"</formula>
    </cfRule>
  </conditionalFormatting>
  <conditionalFormatting sqref="AJ106">
    <cfRule type="expression" dxfId="2" priority="400">
      <formula>AJ106="病"</formula>
    </cfRule>
    <cfRule type="expression" dxfId="3" priority="399">
      <formula>AJ106="事"</formula>
    </cfRule>
    <cfRule type="expression" dxfId="4" priority="398">
      <formula>AJ106="年"</formula>
    </cfRule>
    <cfRule type="expression" dxfId="5" priority="397">
      <formula>AJ106="探"</formula>
    </cfRule>
  </conditionalFormatting>
  <conditionalFormatting sqref="AK106">
    <cfRule type="expression" dxfId="2" priority="396">
      <formula>AK106="病"</formula>
    </cfRule>
    <cfRule type="expression" dxfId="3" priority="395">
      <formula>AK106="事"</formula>
    </cfRule>
    <cfRule type="expression" dxfId="4" priority="394">
      <formula>AK106="年"</formula>
    </cfRule>
    <cfRule type="expression" dxfId="5" priority="393">
      <formula>AK106="探"</formula>
    </cfRule>
  </conditionalFormatting>
  <conditionalFormatting sqref="G107:I107">
    <cfRule type="expression" dxfId="5" priority="6205">
      <formula>G107="探"</formula>
    </cfRule>
    <cfRule type="expression" dxfId="4" priority="6206">
      <formula>G107="年"</formula>
    </cfRule>
    <cfRule type="expression" dxfId="3" priority="6207">
      <formula>G107="事"</formula>
    </cfRule>
    <cfRule type="expression" dxfId="2" priority="6208">
      <formula>G107="病"</formula>
    </cfRule>
  </conditionalFormatting>
  <conditionalFormatting sqref="J107">
    <cfRule type="expression" dxfId="5" priority="6209">
      <formula>J107="探"</formula>
    </cfRule>
    <cfRule type="expression" dxfId="4" priority="6210">
      <formula>J107="年"</formula>
    </cfRule>
    <cfRule type="expression" dxfId="3" priority="6211">
      <formula>J107="事"</formula>
    </cfRule>
    <cfRule type="expression" dxfId="2" priority="6212">
      <formula>J107="病"</formula>
    </cfRule>
  </conditionalFormatting>
  <conditionalFormatting sqref="L107:M107">
    <cfRule type="expression" dxfId="5" priority="5417">
      <formula>L107="探"</formula>
    </cfRule>
    <cfRule type="expression" dxfId="4" priority="5418">
      <formula>L107="年"</formula>
    </cfRule>
    <cfRule type="expression" dxfId="3" priority="5419">
      <formula>L107="事"</formula>
    </cfRule>
    <cfRule type="expression" dxfId="2" priority="5420">
      <formula>L107="病"</formula>
    </cfRule>
  </conditionalFormatting>
  <conditionalFormatting sqref="N107">
    <cfRule type="expression" dxfId="5" priority="5421">
      <formula>N107="探"</formula>
    </cfRule>
    <cfRule type="expression" dxfId="4" priority="5422">
      <formula>N107="年"</formula>
    </cfRule>
    <cfRule type="expression" dxfId="3" priority="5423">
      <formula>N107="事"</formula>
    </cfRule>
    <cfRule type="expression" dxfId="2" priority="5424">
      <formula>N107="病"</formula>
    </cfRule>
  </conditionalFormatting>
  <conditionalFormatting sqref="O107">
    <cfRule type="expression" dxfId="5" priority="5425">
      <formula>O107="探"</formula>
    </cfRule>
    <cfRule type="expression" dxfId="4" priority="5426">
      <formula>O107="年"</formula>
    </cfRule>
    <cfRule type="expression" dxfId="3" priority="5427">
      <formula>O107="事"</formula>
    </cfRule>
    <cfRule type="expression" dxfId="2" priority="5428">
      <formula>O107="病"</formula>
    </cfRule>
  </conditionalFormatting>
  <conditionalFormatting sqref="P107:Q107">
    <cfRule type="expression" dxfId="5" priority="3501">
      <formula>P107="探"</formula>
    </cfRule>
    <cfRule type="expression" dxfId="4" priority="3502">
      <formula>P107="年"</formula>
    </cfRule>
    <cfRule type="expression" dxfId="3" priority="3503">
      <formula>P107="事"</formula>
    </cfRule>
    <cfRule type="expression" dxfId="2" priority="3504">
      <formula>P107="病"</formula>
    </cfRule>
  </conditionalFormatting>
  <conditionalFormatting sqref="R107:S107">
    <cfRule type="expression" dxfId="5" priority="3505">
      <formula>R107="探"</formula>
    </cfRule>
    <cfRule type="expression" dxfId="4" priority="3506">
      <formula>R107="年"</formula>
    </cfRule>
    <cfRule type="expression" dxfId="3" priority="3507">
      <formula>R107="事"</formula>
    </cfRule>
    <cfRule type="expression" dxfId="2" priority="3508">
      <formula>R107="病"</formula>
    </cfRule>
  </conditionalFormatting>
  <conditionalFormatting sqref="AE107:AG107">
    <cfRule type="expression" dxfId="2" priority="1492">
      <formula>AE107="病"</formula>
    </cfRule>
    <cfRule type="expression" dxfId="3" priority="1491">
      <formula>AE107="事"</formula>
    </cfRule>
    <cfRule type="expression" dxfId="4" priority="1490">
      <formula>AE107="年"</formula>
    </cfRule>
    <cfRule type="expression" dxfId="5" priority="1489">
      <formula>AE107="探"</formula>
    </cfRule>
  </conditionalFormatting>
  <conditionalFormatting sqref="AH107:AJ107">
    <cfRule type="expression" dxfId="2" priority="392">
      <formula>AH107="病"</formula>
    </cfRule>
    <cfRule type="expression" dxfId="3" priority="391">
      <formula>AH107="事"</formula>
    </cfRule>
    <cfRule type="expression" dxfId="4" priority="390">
      <formula>AH107="年"</formula>
    </cfRule>
    <cfRule type="expression" dxfId="5" priority="389">
      <formula>AH107="探"</formula>
    </cfRule>
  </conditionalFormatting>
  <conditionalFormatting sqref="AK107">
    <cfRule type="expression" dxfId="5" priority="6641">
      <formula>AK107="探"</formula>
    </cfRule>
    <cfRule type="expression" dxfId="4" priority="6642">
      <formula>AK107="年"</formula>
    </cfRule>
    <cfRule type="expression" dxfId="3" priority="6643">
      <formula>AK107="事"</formula>
    </cfRule>
    <cfRule type="expression" dxfId="2" priority="6644">
      <formula>AK107="病"</formula>
    </cfRule>
  </conditionalFormatting>
  <conditionalFormatting sqref="L108">
    <cfRule type="expression" dxfId="5" priority="5409">
      <formula>L108="探"</formula>
    </cfRule>
    <cfRule type="expression" dxfId="4" priority="5410">
      <formula>L108="年"</formula>
    </cfRule>
    <cfRule type="expression" dxfId="3" priority="5411">
      <formula>L108="事"</formula>
    </cfRule>
    <cfRule type="expression" dxfId="2" priority="5412">
      <formula>L108="病"</formula>
    </cfRule>
  </conditionalFormatting>
  <conditionalFormatting sqref="M108:O108">
    <cfRule type="expression" dxfId="5" priority="5413">
      <formula>M108="探"</formula>
    </cfRule>
    <cfRule type="expression" dxfId="4" priority="5414">
      <formula>M108="年"</formula>
    </cfRule>
    <cfRule type="expression" dxfId="3" priority="5415">
      <formula>M108="事"</formula>
    </cfRule>
    <cfRule type="expression" dxfId="2" priority="5416">
      <formula>M108="病"</formula>
    </cfRule>
  </conditionalFormatting>
  <conditionalFormatting sqref="P108">
    <cfRule type="expression" dxfId="5" priority="3493">
      <formula>P108="探"</formula>
    </cfRule>
    <cfRule type="expression" dxfId="4" priority="3494">
      <formula>P108="年"</formula>
    </cfRule>
    <cfRule type="expression" dxfId="3" priority="3495">
      <formula>P108="事"</formula>
    </cfRule>
    <cfRule type="expression" dxfId="2" priority="3496">
      <formula>P108="病"</formula>
    </cfRule>
  </conditionalFormatting>
  <conditionalFormatting sqref="Q108:S108">
    <cfRule type="expression" dxfId="5" priority="3497">
      <formula>Q108="探"</formula>
    </cfRule>
    <cfRule type="expression" dxfId="4" priority="3498">
      <formula>Q108="年"</formula>
    </cfRule>
    <cfRule type="expression" dxfId="3" priority="3499">
      <formula>Q108="事"</formula>
    </cfRule>
    <cfRule type="expression" dxfId="2" priority="3500">
      <formula>Q108="病"</formula>
    </cfRule>
  </conditionalFormatting>
  <conditionalFormatting sqref="T108">
    <cfRule type="expression" dxfId="5" priority="3485">
      <formula>T108="探"</formula>
    </cfRule>
    <cfRule type="expression" dxfId="4" priority="3486">
      <formula>T108="年"</formula>
    </cfRule>
    <cfRule type="expression" dxfId="3" priority="3487">
      <formula>T108="事"</formula>
    </cfRule>
    <cfRule type="expression" dxfId="2" priority="3488">
      <formula>T108="病"</formula>
    </cfRule>
  </conditionalFormatting>
  <conditionalFormatting sqref="U108:W108">
    <cfRule type="expression" dxfId="5" priority="3489">
      <formula>U108="探"</formula>
    </cfRule>
    <cfRule type="expression" dxfId="4" priority="3490">
      <formula>U108="年"</formula>
    </cfRule>
    <cfRule type="expression" dxfId="3" priority="3491">
      <formula>U108="事"</formula>
    </cfRule>
    <cfRule type="expression" dxfId="2" priority="3492">
      <formula>U108="病"</formula>
    </cfRule>
  </conditionalFormatting>
  <conditionalFormatting sqref="X108">
    <cfRule type="expression" dxfId="5" priority="3481">
      <formula>X108="探"</formula>
    </cfRule>
    <cfRule type="expression" dxfId="4" priority="3482">
      <formula>X108="年"</formula>
    </cfRule>
    <cfRule type="expression" dxfId="3" priority="3483">
      <formula>X108="事"</formula>
    </cfRule>
    <cfRule type="expression" dxfId="2" priority="3484">
      <formula>X108="病"</formula>
    </cfRule>
  </conditionalFormatting>
  <conditionalFormatting sqref="Y108">
    <cfRule type="expression" dxfId="5" priority="8369">
      <formula>Y108="探"</formula>
    </cfRule>
    <cfRule type="expression" dxfId="4" priority="8370">
      <formula>Y108="年"</formula>
    </cfRule>
    <cfRule type="expression" dxfId="3" priority="8371">
      <formula>Y108="事"</formula>
    </cfRule>
    <cfRule type="expression" dxfId="2" priority="8372">
      <formula>Y108="病"</formula>
    </cfRule>
  </conditionalFormatting>
  <conditionalFormatting sqref="Z108">
    <cfRule type="expression" dxfId="2" priority="1484">
      <formula>Z108="病"</formula>
    </cfRule>
    <cfRule type="expression" dxfId="3" priority="1483">
      <formula>Z108="事"</formula>
    </cfRule>
    <cfRule type="expression" dxfId="4" priority="1482">
      <formula>Z108="年"</formula>
    </cfRule>
    <cfRule type="expression" dxfId="5" priority="1481">
      <formula>Z108="探"</formula>
    </cfRule>
  </conditionalFormatting>
  <conditionalFormatting sqref="AA108">
    <cfRule type="expression" dxfId="2" priority="1480">
      <formula>AA108="病"</formula>
    </cfRule>
    <cfRule type="expression" dxfId="3" priority="1479">
      <formula>AA108="事"</formula>
    </cfRule>
    <cfRule type="expression" dxfId="4" priority="1478">
      <formula>AA108="年"</formula>
    </cfRule>
    <cfRule type="expression" dxfId="5" priority="1477">
      <formula>AA108="探"</formula>
    </cfRule>
  </conditionalFormatting>
  <conditionalFormatting sqref="AB108">
    <cfRule type="expression" dxfId="2" priority="1488">
      <formula>AB108="病"</formula>
    </cfRule>
    <cfRule type="expression" dxfId="3" priority="1487">
      <formula>AB108="事"</formula>
    </cfRule>
    <cfRule type="expression" dxfId="4" priority="1486">
      <formula>AB108="年"</formula>
    </cfRule>
    <cfRule type="expression" dxfId="5" priority="1485">
      <formula>AB108="探"</formula>
    </cfRule>
  </conditionalFormatting>
  <conditionalFormatting sqref="AC108">
    <cfRule type="expression" dxfId="2" priority="1472">
      <formula>AC108="病"</formula>
    </cfRule>
    <cfRule type="expression" dxfId="3" priority="1471">
      <formula>AC108="事"</formula>
    </cfRule>
    <cfRule type="expression" dxfId="4" priority="1470">
      <formula>AC108="年"</formula>
    </cfRule>
    <cfRule type="expression" dxfId="5" priority="1469">
      <formula>AC108="探"</formula>
    </cfRule>
  </conditionalFormatting>
  <conditionalFormatting sqref="AD108">
    <cfRule type="expression" dxfId="2" priority="1468">
      <formula>AD108="病"</formula>
    </cfRule>
    <cfRule type="expression" dxfId="3" priority="1467">
      <formula>AD108="事"</formula>
    </cfRule>
    <cfRule type="expression" dxfId="4" priority="1466">
      <formula>AD108="年"</formula>
    </cfRule>
    <cfRule type="expression" dxfId="5" priority="1465">
      <formula>AD108="探"</formula>
    </cfRule>
  </conditionalFormatting>
  <conditionalFormatting sqref="AE108">
    <cfRule type="expression" dxfId="2" priority="1476">
      <formula>AE108="病"</formula>
    </cfRule>
    <cfRule type="expression" dxfId="3" priority="1475">
      <formula>AE108="事"</formula>
    </cfRule>
    <cfRule type="expression" dxfId="4" priority="1474">
      <formula>AE108="年"</formula>
    </cfRule>
    <cfRule type="expression" dxfId="5" priority="1473">
      <formula>AE108="探"</formula>
    </cfRule>
  </conditionalFormatting>
  <conditionalFormatting sqref="AF108">
    <cfRule type="expression" dxfId="5" priority="7497">
      <formula>AF108="探"</formula>
    </cfRule>
    <cfRule type="expression" dxfId="4" priority="7498">
      <formula>AF108="年"</formula>
    </cfRule>
    <cfRule type="expression" dxfId="3" priority="7499">
      <formula>AF108="事"</formula>
    </cfRule>
    <cfRule type="expression" dxfId="2" priority="7500">
      <formula>AF108="病"</formula>
    </cfRule>
  </conditionalFormatting>
  <conditionalFormatting sqref="AG108">
    <cfRule type="expression" dxfId="5" priority="6637">
      <formula>AG108="探"</formula>
    </cfRule>
    <cfRule type="expression" dxfId="4" priority="6638">
      <formula>AG108="年"</formula>
    </cfRule>
    <cfRule type="expression" dxfId="3" priority="6639">
      <formula>AG108="事"</formula>
    </cfRule>
    <cfRule type="expression" dxfId="2" priority="6640">
      <formula>AG108="病"</formula>
    </cfRule>
  </conditionalFormatting>
  <conditionalFormatting sqref="AH108">
    <cfRule type="expression" dxfId="5" priority="6633">
      <formula>AH108="探"</formula>
    </cfRule>
    <cfRule type="expression" dxfId="4" priority="6634">
      <formula>AH108="年"</formula>
    </cfRule>
    <cfRule type="expression" dxfId="3" priority="6635">
      <formula>AH108="事"</formula>
    </cfRule>
    <cfRule type="expression" dxfId="2" priority="6636">
      <formula>AH108="病"</formula>
    </cfRule>
  </conditionalFormatting>
  <conditionalFormatting sqref="AI108:AK108">
    <cfRule type="expression" dxfId="5" priority="6629">
      <formula>AI108="探"</formula>
    </cfRule>
    <cfRule type="expression" dxfId="4" priority="6630">
      <formula>AI108="年"</formula>
    </cfRule>
    <cfRule type="expression" dxfId="3" priority="6631">
      <formula>AI108="事"</formula>
    </cfRule>
    <cfRule type="expression" dxfId="2" priority="6632">
      <formula>AI108="病"</formula>
    </cfRule>
  </conditionalFormatting>
  <conditionalFormatting sqref="G109:J109">
    <cfRule type="expression" dxfId="5" priority="6201">
      <formula>G109="探"</formula>
    </cfRule>
    <cfRule type="expression" dxfId="4" priority="6202">
      <formula>G109="年"</formula>
    </cfRule>
    <cfRule type="expression" dxfId="3" priority="6203">
      <formula>G109="事"</formula>
    </cfRule>
    <cfRule type="expression" dxfId="2" priority="6204">
      <formula>G109="病"</formula>
    </cfRule>
  </conditionalFormatting>
  <conditionalFormatting sqref="N109:Q109">
    <cfRule type="expression" dxfId="5" priority="8537">
      <formula>N109="探"</formula>
    </cfRule>
    <cfRule type="expression" dxfId="4" priority="8538">
      <formula>N109="年"</formula>
    </cfRule>
    <cfRule type="expression" dxfId="3" priority="8539">
      <formula>N109="事"</formula>
    </cfRule>
    <cfRule type="expression" dxfId="2" priority="8540">
      <formula>N109="病"</formula>
    </cfRule>
  </conditionalFormatting>
  <conditionalFormatting sqref="R109:U109">
    <cfRule type="expression" dxfId="5" priority="8541">
      <formula>R109="探"</formula>
    </cfRule>
    <cfRule type="expression" dxfId="4" priority="8542">
      <formula>R109="年"</formula>
    </cfRule>
    <cfRule type="expression" dxfId="3" priority="8543">
      <formula>R109="事"</formula>
    </cfRule>
    <cfRule type="expression" dxfId="2" priority="8544">
      <formula>R109="病"</formula>
    </cfRule>
  </conditionalFormatting>
  <conditionalFormatting sqref="V109:X109">
    <cfRule type="expression" dxfId="5" priority="3477">
      <formula>V109="探"</formula>
    </cfRule>
    <cfRule type="expression" dxfId="4" priority="3478">
      <formula>V109="年"</formula>
    </cfRule>
    <cfRule type="expression" dxfId="3" priority="3479">
      <formula>V109="事"</formula>
    </cfRule>
    <cfRule type="expression" dxfId="2" priority="3480">
      <formula>V109="病"</formula>
    </cfRule>
  </conditionalFormatting>
  <conditionalFormatting sqref="Z109:AC109">
    <cfRule type="expression" dxfId="5" priority="7521">
      <formula>Z109="探"</formula>
    </cfRule>
    <cfRule type="expression" dxfId="4" priority="7522">
      <formula>Z109="年"</formula>
    </cfRule>
    <cfRule type="expression" dxfId="3" priority="7523">
      <formula>Z109="事"</formula>
    </cfRule>
    <cfRule type="expression" dxfId="2" priority="7524">
      <formula>Z109="病"</formula>
    </cfRule>
  </conditionalFormatting>
  <conditionalFormatting sqref="AD109:AG109">
    <cfRule type="expression" dxfId="5" priority="7517">
      <formula>AD109="探"</formula>
    </cfRule>
    <cfRule type="expression" dxfId="4" priority="7518">
      <formula>AD109="年"</formula>
    </cfRule>
    <cfRule type="expression" dxfId="3" priority="7519">
      <formula>AD109="事"</formula>
    </cfRule>
    <cfRule type="expression" dxfId="2" priority="7520">
      <formula>AD109="病"</formula>
    </cfRule>
  </conditionalFormatting>
  <conditionalFormatting sqref="AH109:AK109">
    <cfRule type="expression" dxfId="5" priority="6625">
      <formula>AH109="探"</formula>
    </cfRule>
    <cfRule type="expression" dxfId="4" priority="6626">
      <formula>AH109="年"</formula>
    </cfRule>
    <cfRule type="expression" dxfId="3" priority="6627">
      <formula>AH109="事"</formula>
    </cfRule>
    <cfRule type="expression" dxfId="2" priority="6628">
      <formula>AH109="病"</formula>
    </cfRule>
  </conditionalFormatting>
  <conditionalFormatting sqref="G110:H110">
    <cfRule type="expression" dxfId="5" priority="5397">
      <formula>G110="探"</formula>
    </cfRule>
    <cfRule type="expression" dxfId="4" priority="5398">
      <formula>G110="年"</formula>
    </cfRule>
    <cfRule type="expression" dxfId="3" priority="5399">
      <formula>G110="事"</formula>
    </cfRule>
    <cfRule type="expression" dxfId="2" priority="5400">
      <formula>G110="病"</formula>
    </cfRule>
  </conditionalFormatting>
  <conditionalFormatting sqref="I110:J110">
    <cfRule type="expression" dxfId="5" priority="5401">
      <formula>I110="探"</formula>
    </cfRule>
    <cfRule type="expression" dxfId="4" priority="5402">
      <formula>I110="年"</formula>
    </cfRule>
    <cfRule type="expression" dxfId="3" priority="5403">
      <formula>I110="事"</formula>
    </cfRule>
    <cfRule type="expression" dxfId="2" priority="5404">
      <formula>I110="病"</formula>
    </cfRule>
  </conditionalFormatting>
  <conditionalFormatting sqref="K110">
    <cfRule type="expression" dxfId="5" priority="5405">
      <formula>K110="探"</formula>
    </cfRule>
    <cfRule type="expression" dxfId="4" priority="5406">
      <formula>K110="年"</formula>
    </cfRule>
    <cfRule type="expression" dxfId="3" priority="5407">
      <formula>K110="事"</formula>
    </cfRule>
    <cfRule type="expression" dxfId="2" priority="5408">
      <formula>K110="病"</formula>
    </cfRule>
  </conditionalFormatting>
  <conditionalFormatting sqref="L110">
    <cfRule type="expression" dxfId="5" priority="5385">
      <formula>L110="探"</formula>
    </cfRule>
    <cfRule type="expression" dxfId="4" priority="5386">
      <formula>L110="年"</formula>
    </cfRule>
    <cfRule type="expression" dxfId="3" priority="5387">
      <formula>L110="事"</formula>
    </cfRule>
    <cfRule type="expression" dxfId="2" priority="5388">
      <formula>L110="病"</formula>
    </cfRule>
  </conditionalFormatting>
  <conditionalFormatting sqref="M110:N110">
    <cfRule type="expression" dxfId="5" priority="5389">
      <formula>M110="探"</formula>
    </cfRule>
    <cfRule type="expression" dxfId="4" priority="5390">
      <formula>M110="年"</formula>
    </cfRule>
    <cfRule type="expression" dxfId="3" priority="5391">
      <formula>M110="事"</formula>
    </cfRule>
    <cfRule type="expression" dxfId="2" priority="5392">
      <formula>M110="病"</formula>
    </cfRule>
  </conditionalFormatting>
  <conditionalFormatting sqref="O110">
    <cfRule type="expression" dxfId="5" priority="5393">
      <formula>O110="探"</formula>
    </cfRule>
    <cfRule type="expression" dxfId="4" priority="5394">
      <formula>O110="年"</formula>
    </cfRule>
    <cfRule type="expression" dxfId="3" priority="5395">
      <formula>O110="事"</formula>
    </cfRule>
    <cfRule type="expression" dxfId="2" priority="5396">
      <formula>O110="病"</formula>
    </cfRule>
  </conditionalFormatting>
  <conditionalFormatting sqref="P110">
    <cfRule type="expression" dxfId="5" priority="3469">
      <formula>P110="探"</formula>
    </cfRule>
    <cfRule type="expression" dxfId="4" priority="3470">
      <formula>P110="年"</formula>
    </cfRule>
    <cfRule type="expression" dxfId="3" priority="3471">
      <formula>P110="事"</formula>
    </cfRule>
    <cfRule type="expression" dxfId="2" priority="3472">
      <formula>P110="病"</formula>
    </cfRule>
  </conditionalFormatting>
  <conditionalFormatting sqref="Q110">
    <cfRule type="expression" dxfId="5" priority="3473">
      <formula>Q110="探"</formula>
    </cfRule>
    <cfRule type="expression" dxfId="4" priority="3474">
      <formula>Q110="年"</formula>
    </cfRule>
    <cfRule type="expression" dxfId="3" priority="3475">
      <formula>Q110="事"</formula>
    </cfRule>
    <cfRule type="expression" dxfId="2" priority="3476">
      <formula>Q110="病"</formula>
    </cfRule>
  </conditionalFormatting>
  <conditionalFormatting sqref="R110">
    <cfRule type="expression" dxfId="5" priority="3461">
      <formula>R110="探"</formula>
    </cfRule>
    <cfRule type="expression" dxfId="4" priority="3462">
      <formula>R110="年"</formula>
    </cfRule>
    <cfRule type="expression" dxfId="3" priority="3463">
      <formula>R110="事"</formula>
    </cfRule>
    <cfRule type="expression" dxfId="2" priority="3464">
      <formula>R110="病"</formula>
    </cfRule>
  </conditionalFormatting>
  <conditionalFormatting sqref="S110:U110">
    <cfRule type="expression" dxfId="5" priority="3465">
      <formula>S110="探"</formula>
    </cfRule>
    <cfRule type="expression" dxfId="4" priority="3466">
      <formula>S110="年"</formula>
    </cfRule>
    <cfRule type="expression" dxfId="3" priority="3467">
      <formula>S110="事"</formula>
    </cfRule>
    <cfRule type="expression" dxfId="2" priority="3468">
      <formula>S110="病"</formula>
    </cfRule>
  </conditionalFormatting>
  <conditionalFormatting sqref="V110">
    <cfRule type="expression" dxfId="5" priority="3453">
      <formula>V110="探"</formula>
    </cfRule>
    <cfRule type="expression" dxfId="4" priority="3454">
      <formula>V110="年"</formula>
    </cfRule>
    <cfRule type="expression" dxfId="3" priority="3455">
      <formula>V110="事"</formula>
    </cfRule>
    <cfRule type="expression" dxfId="2" priority="3456">
      <formula>V110="病"</formula>
    </cfRule>
  </conditionalFormatting>
  <conditionalFormatting sqref="W110:X110">
    <cfRule type="expression" dxfId="5" priority="3457">
      <formula>W110="探"</formula>
    </cfRule>
    <cfRule type="expression" dxfId="4" priority="3458">
      <formula>W110="年"</formula>
    </cfRule>
    <cfRule type="expression" dxfId="3" priority="3459">
      <formula>W110="事"</formula>
    </cfRule>
    <cfRule type="expression" dxfId="2" priority="3460">
      <formula>W110="病"</formula>
    </cfRule>
  </conditionalFormatting>
  <conditionalFormatting sqref="Y110">
    <cfRule type="expression" dxfId="5" priority="8365">
      <formula>Y110="探"</formula>
    </cfRule>
    <cfRule type="expression" dxfId="4" priority="8366">
      <formula>Y110="年"</formula>
    </cfRule>
    <cfRule type="expression" dxfId="3" priority="8367">
      <formula>Y110="事"</formula>
    </cfRule>
    <cfRule type="expression" dxfId="2" priority="8368">
      <formula>Y110="病"</formula>
    </cfRule>
  </conditionalFormatting>
  <conditionalFormatting sqref="Z110:AC110">
    <cfRule type="expression" dxfId="5" priority="7529">
      <formula>Z110="探"</formula>
    </cfRule>
    <cfRule type="expression" dxfId="4" priority="7530">
      <formula>Z110="年"</formula>
    </cfRule>
    <cfRule type="expression" dxfId="3" priority="7531">
      <formula>Z110="事"</formula>
    </cfRule>
    <cfRule type="expression" dxfId="2" priority="7532">
      <formula>Z110="病"</formula>
    </cfRule>
  </conditionalFormatting>
  <conditionalFormatting sqref="AD110:AE110">
    <cfRule type="expression" dxfId="5" priority="7525">
      <formula>AD110="探"</formula>
    </cfRule>
    <cfRule type="expression" dxfId="4" priority="7526">
      <formula>AD110="年"</formula>
    </cfRule>
    <cfRule type="expression" dxfId="3" priority="7527">
      <formula>AD110="事"</formula>
    </cfRule>
    <cfRule type="expression" dxfId="2" priority="7528">
      <formula>AD110="病"</formula>
    </cfRule>
  </conditionalFormatting>
  <conditionalFormatting sqref="AG110:AH110">
    <cfRule type="expression" dxfId="2" priority="384">
      <formula>AG110="病"</formula>
    </cfRule>
    <cfRule type="expression" dxfId="3" priority="383">
      <formula>AG110="事"</formula>
    </cfRule>
    <cfRule type="expression" dxfId="4" priority="382">
      <formula>AG110="年"</formula>
    </cfRule>
    <cfRule type="expression" dxfId="5" priority="381">
      <formula>AG110="探"</formula>
    </cfRule>
  </conditionalFormatting>
  <conditionalFormatting sqref="AI110">
    <cfRule type="expression" dxfId="2" priority="380">
      <formula>AI110="病"</formula>
    </cfRule>
    <cfRule type="expression" dxfId="3" priority="379">
      <formula>AI110="事"</formula>
    </cfRule>
    <cfRule type="expression" dxfId="4" priority="378">
      <formula>AI110="年"</formula>
    </cfRule>
    <cfRule type="expression" dxfId="5" priority="377">
      <formula>AI110="探"</formula>
    </cfRule>
  </conditionalFormatting>
  <conditionalFormatting sqref="AJ110:AK110">
    <cfRule type="expression" dxfId="2" priority="376">
      <formula>AJ110="病"</formula>
    </cfRule>
    <cfRule type="expression" dxfId="3" priority="375">
      <formula>AJ110="事"</formula>
    </cfRule>
    <cfRule type="expression" dxfId="4" priority="374">
      <formula>AJ110="年"</formula>
    </cfRule>
    <cfRule type="expression" dxfId="5" priority="373">
      <formula>AJ110="探"</formula>
    </cfRule>
  </conditionalFormatting>
  <conditionalFormatting sqref="AB111:AD111">
    <cfRule type="expression" dxfId="2" priority="1464">
      <formula>AB111="病"</formula>
    </cfRule>
    <cfRule type="expression" dxfId="3" priority="1463">
      <formula>AB111="事"</formula>
    </cfRule>
    <cfRule type="expression" dxfId="4" priority="1462">
      <formula>AB111="年"</formula>
    </cfRule>
    <cfRule type="expression" dxfId="5" priority="1461">
      <formula>AB111="探"</formula>
    </cfRule>
  </conditionalFormatting>
  <conditionalFormatting sqref="AE111">
    <cfRule type="expression" dxfId="5" priority="7533">
      <formula>AE111="探"</formula>
    </cfRule>
    <cfRule type="expression" dxfId="4" priority="7534">
      <formula>AE111="年"</formula>
    </cfRule>
    <cfRule type="expression" dxfId="3" priority="7535">
      <formula>AE111="事"</formula>
    </cfRule>
    <cfRule type="expression" dxfId="2" priority="7536">
      <formula>AE111="病"</formula>
    </cfRule>
  </conditionalFormatting>
  <conditionalFormatting sqref="AH111">
    <cfRule type="expression" dxfId="2" priority="372">
      <formula>AH111="病"</formula>
    </cfRule>
    <cfRule type="expression" dxfId="3" priority="371">
      <formula>AH111="事"</formula>
    </cfRule>
    <cfRule type="expression" dxfId="4" priority="370">
      <formula>AH111="年"</formula>
    </cfRule>
    <cfRule type="expression" dxfId="5" priority="369">
      <formula>AH111="探"</formula>
    </cfRule>
  </conditionalFormatting>
  <conditionalFormatting sqref="AI111">
    <cfRule type="expression" dxfId="2" priority="364">
      <formula>AI111="病"</formula>
    </cfRule>
    <cfRule type="expression" dxfId="3" priority="363">
      <formula>AI111="事"</formula>
    </cfRule>
    <cfRule type="expression" dxfId="4" priority="362">
      <formula>AI111="年"</formula>
    </cfRule>
    <cfRule type="expression" dxfId="5" priority="361">
      <formula>AI111="探"</formula>
    </cfRule>
  </conditionalFormatting>
  <conditionalFormatting sqref="AJ111">
    <cfRule type="expression" dxfId="2" priority="368">
      <formula>AJ111="病"</formula>
    </cfRule>
    <cfRule type="expression" dxfId="3" priority="367">
      <formula>AJ111="事"</formula>
    </cfRule>
    <cfRule type="expression" dxfId="4" priority="366">
      <formula>AJ111="年"</formula>
    </cfRule>
    <cfRule type="expression" dxfId="5" priority="365">
      <formula>AJ111="探"</formula>
    </cfRule>
  </conditionalFormatting>
  <conditionalFormatting sqref="G112:H112">
    <cfRule type="expression" dxfId="5" priority="8873">
      <formula>G112="探"</formula>
    </cfRule>
    <cfRule type="expression" dxfId="4" priority="8874">
      <formula>G112="年"</formula>
    </cfRule>
    <cfRule type="expression" dxfId="3" priority="8875">
      <formula>G112="事"</formula>
    </cfRule>
    <cfRule type="expression" dxfId="2" priority="8876">
      <formula>G112="病"</formula>
    </cfRule>
  </conditionalFormatting>
  <conditionalFormatting sqref="I112:J112">
    <cfRule type="expression" dxfId="5" priority="8877">
      <formula>I112="探"</formula>
    </cfRule>
    <cfRule type="expression" dxfId="4" priority="8878">
      <formula>I112="年"</formula>
    </cfRule>
    <cfRule type="expression" dxfId="3" priority="8879">
      <formula>I112="事"</formula>
    </cfRule>
    <cfRule type="expression" dxfId="2" priority="8880">
      <formula>I112="病"</formula>
    </cfRule>
  </conditionalFormatting>
  <conditionalFormatting sqref="N112">
    <cfRule type="expression" dxfId="5" priority="3449">
      <formula>N112="探"</formula>
    </cfRule>
    <cfRule type="expression" dxfId="4" priority="3450">
      <formula>N112="年"</formula>
    </cfRule>
    <cfRule type="expression" dxfId="3" priority="3451">
      <formula>N112="事"</formula>
    </cfRule>
    <cfRule type="expression" dxfId="2" priority="3452">
      <formula>N112="病"</formula>
    </cfRule>
  </conditionalFormatting>
  <conditionalFormatting sqref="O112:P112">
    <cfRule type="expression" dxfId="5" priority="3445">
      <formula>O112="探"</formula>
    </cfRule>
    <cfRule type="expression" dxfId="4" priority="3446">
      <formula>O112="年"</formula>
    </cfRule>
    <cfRule type="expression" dxfId="3" priority="3447">
      <formula>O112="事"</formula>
    </cfRule>
    <cfRule type="expression" dxfId="2" priority="3448">
      <formula>O112="病"</formula>
    </cfRule>
  </conditionalFormatting>
  <conditionalFormatting sqref="Q112:R112">
    <cfRule type="expression" dxfId="5" priority="3441">
      <formula>Q112="探"</formula>
    </cfRule>
    <cfRule type="expression" dxfId="4" priority="3442">
      <formula>Q112="年"</formula>
    </cfRule>
    <cfRule type="expression" dxfId="3" priority="3443">
      <formula>Q112="事"</formula>
    </cfRule>
    <cfRule type="expression" dxfId="2" priority="3444">
      <formula>Q112="病"</formula>
    </cfRule>
  </conditionalFormatting>
  <conditionalFormatting sqref="S112:T112">
    <cfRule type="expression" dxfId="5" priority="3437">
      <formula>S112="探"</formula>
    </cfRule>
    <cfRule type="expression" dxfId="4" priority="3438">
      <formula>S112="年"</formula>
    </cfRule>
    <cfRule type="expression" dxfId="3" priority="3439">
      <formula>S112="事"</formula>
    </cfRule>
    <cfRule type="expression" dxfId="2" priority="3440">
      <formula>S112="病"</formula>
    </cfRule>
  </conditionalFormatting>
  <conditionalFormatting sqref="U112:V112">
    <cfRule type="expression" dxfId="5" priority="3433">
      <formula>U112="探"</formula>
    </cfRule>
    <cfRule type="expression" dxfId="4" priority="3434">
      <formula>U112="年"</formula>
    </cfRule>
    <cfRule type="expression" dxfId="3" priority="3435">
      <formula>U112="事"</formula>
    </cfRule>
    <cfRule type="expression" dxfId="2" priority="3436">
      <formula>U112="病"</formula>
    </cfRule>
  </conditionalFormatting>
  <conditionalFormatting sqref="W112:X112">
    <cfRule type="expression" dxfId="5" priority="3429">
      <formula>W112="探"</formula>
    </cfRule>
    <cfRule type="expression" dxfId="4" priority="3430">
      <formula>W112="年"</formula>
    </cfRule>
    <cfRule type="expression" dxfId="3" priority="3431">
      <formula>W112="事"</formula>
    </cfRule>
    <cfRule type="expression" dxfId="2" priority="3432">
      <formula>W112="病"</formula>
    </cfRule>
  </conditionalFormatting>
  <conditionalFormatting sqref="AJ112:AK112">
    <cfRule type="expression" dxfId="2" priority="360">
      <formula>AJ112="病"</formula>
    </cfRule>
    <cfRule type="expression" dxfId="3" priority="359">
      <formula>AJ112="事"</formula>
    </cfRule>
    <cfRule type="expression" dxfId="4" priority="358">
      <formula>AJ112="年"</formula>
    </cfRule>
    <cfRule type="expression" dxfId="5" priority="357">
      <formula>AJ112="探"</formula>
    </cfRule>
  </conditionalFormatting>
  <conditionalFormatting sqref="H113:J113">
    <cfRule type="expression" dxfId="5" priority="8861">
      <formula>H113="探"</formula>
    </cfRule>
    <cfRule type="expression" dxfId="4" priority="8862">
      <formula>H113="年"</formula>
    </cfRule>
    <cfRule type="expression" dxfId="3" priority="8863">
      <formula>H113="事"</formula>
    </cfRule>
    <cfRule type="expression" dxfId="2" priority="8864">
      <formula>H113="病"</formula>
    </cfRule>
  </conditionalFormatting>
  <conditionalFormatting sqref="M113">
    <cfRule type="expression" dxfId="5" priority="3397">
      <formula>M113="探"</formula>
    </cfRule>
    <cfRule type="expression" dxfId="4" priority="3398">
      <formula>M113="年"</formula>
    </cfRule>
    <cfRule type="expression" dxfId="3" priority="3399">
      <formula>M113="事"</formula>
    </cfRule>
    <cfRule type="expression" dxfId="2" priority="3400">
      <formula>M113="病"</formula>
    </cfRule>
  </conditionalFormatting>
  <conditionalFormatting sqref="N113:O113">
    <cfRule type="expression" dxfId="5" priority="3393">
      <formula>N113="探"</formula>
    </cfRule>
    <cfRule type="expression" dxfId="4" priority="3394">
      <formula>N113="年"</formula>
    </cfRule>
    <cfRule type="expression" dxfId="3" priority="3395">
      <formula>N113="事"</formula>
    </cfRule>
    <cfRule type="expression" dxfId="2" priority="3396">
      <formula>N113="病"</formula>
    </cfRule>
  </conditionalFormatting>
  <conditionalFormatting sqref="P113">
    <cfRule type="expression" dxfId="5" priority="3405">
      <formula>P113="探"</formula>
    </cfRule>
    <cfRule type="expression" dxfId="4" priority="3406">
      <formula>P113="年"</formula>
    </cfRule>
    <cfRule type="expression" dxfId="3" priority="3407">
      <formula>P113="事"</formula>
    </cfRule>
    <cfRule type="expression" dxfId="2" priority="3408">
      <formula>P113="病"</formula>
    </cfRule>
  </conditionalFormatting>
  <conditionalFormatting sqref="Q113:R113">
    <cfRule type="expression" dxfId="5" priority="3401">
      <formula>Q113="探"</formula>
    </cfRule>
    <cfRule type="expression" dxfId="4" priority="3402">
      <formula>Q113="年"</formula>
    </cfRule>
    <cfRule type="expression" dxfId="3" priority="3403">
      <formula>Q113="事"</formula>
    </cfRule>
    <cfRule type="expression" dxfId="2" priority="3404">
      <formula>Q113="病"</formula>
    </cfRule>
  </conditionalFormatting>
  <conditionalFormatting sqref="S113">
    <cfRule type="expression" dxfId="5" priority="3413">
      <formula>S113="探"</formula>
    </cfRule>
    <cfRule type="expression" dxfId="4" priority="3414">
      <formula>S113="年"</formula>
    </cfRule>
    <cfRule type="expression" dxfId="3" priority="3415">
      <formula>S113="事"</formula>
    </cfRule>
    <cfRule type="expression" dxfId="2" priority="3416">
      <formula>S113="病"</formula>
    </cfRule>
  </conditionalFormatting>
  <conditionalFormatting sqref="T113:U113">
    <cfRule type="expression" dxfId="5" priority="3409">
      <formula>T113="探"</formula>
    </cfRule>
    <cfRule type="expression" dxfId="4" priority="3410">
      <formula>T113="年"</formula>
    </cfRule>
    <cfRule type="expression" dxfId="3" priority="3411">
      <formula>T113="事"</formula>
    </cfRule>
    <cfRule type="expression" dxfId="2" priority="3412">
      <formula>T113="病"</formula>
    </cfRule>
  </conditionalFormatting>
  <conditionalFormatting sqref="V113">
    <cfRule type="expression" dxfId="5" priority="3425">
      <formula>V113="探"</formula>
    </cfRule>
    <cfRule type="expression" dxfId="4" priority="3426">
      <formula>V113="年"</formula>
    </cfRule>
    <cfRule type="expression" dxfId="3" priority="3427">
      <formula>V113="事"</formula>
    </cfRule>
    <cfRule type="expression" dxfId="2" priority="3428">
      <formula>V113="病"</formula>
    </cfRule>
  </conditionalFormatting>
  <conditionalFormatting sqref="W113:X113">
    <cfRule type="expression" dxfId="5" priority="3421">
      <formula>W113="探"</formula>
    </cfRule>
    <cfRule type="expression" dxfId="4" priority="3422">
      <formula>W113="年"</formula>
    </cfRule>
    <cfRule type="expression" dxfId="3" priority="3423">
      <formula>W113="事"</formula>
    </cfRule>
    <cfRule type="expression" dxfId="2" priority="3424">
      <formula>W113="病"</formula>
    </cfRule>
  </conditionalFormatting>
  <conditionalFormatting sqref="Y113:AA113">
    <cfRule type="expression" dxfId="2" priority="1460">
      <formula>Y113="病"</formula>
    </cfRule>
    <cfRule type="expression" dxfId="3" priority="1459">
      <formula>Y113="事"</formula>
    </cfRule>
    <cfRule type="expression" dxfId="4" priority="1458">
      <formula>Y113="年"</formula>
    </cfRule>
    <cfRule type="expression" dxfId="5" priority="1457">
      <formula>Y113="探"</formula>
    </cfRule>
  </conditionalFormatting>
  <conditionalFormatting sqref="AB113:AD113">
    <cfRule type="expression" dxfId="2" priority="1452">
      <formula>AB113="病"</formula>
    </cfRule>
    <cfRule type="expression" dxfId="3" priority="1451">
      <formula>AB113="事"</formula>
    </cfRule>
    <cfRule type="expression" dxfId="4" priority="1450">
      <formula>AB113="年"</formula>
    </cfRule>
    <cfRule type="expression" dxfId="5" priority="1449">
      <formula>AB113="探"</formula>
    </cfRule>
  </conditionalFormatting>
  <conditionalFormatting sqref="AE113">
    <cfRule type="expression" dxfId="2" priority="1456">
      <formula>AE113="病"</formula>
    </cfRule>
    <cfRule type="expression" dxfId="3" priority="1455">
      <formula>AE113="事"</formula>
    </cfRule>
    <cfRule type="expression" dxfId="4" priority="1454">
      <formula>AE113="年"</formula>
    </cfRule>
    <cfRule type="expression" dxfId="5" priority="1453">
      <formula>AE113="探"</formula>
    </cfRule>
  </conditionalFormatting>
  <conditionalFormatting sqref="AF113">
    <cfRule type="expression" dxfId="2" priority="356">
      <formula>AF113="病"</formula>
    </cfRule>
    <cfRule type="expression" dxfId="3" priority="355">
      <formula>AF113="事"</formula>
    </cfRule>
    <cfRule type="expression" dxfId="4" priority="354">
      <formula>AF113="年"</formula>
    </cfRule>
    <cfRule type="expression" dxfId="5" priority="353">
      <formula>AF113="探"</formula>
    </cfRule>
  </conditionalFormatting>
  <conditionalFormatting sqref="AG113">
    <cfRule type="expression" dxfId="5" priority="6605">
      <formula>AG113="探"</formula>
    </cfRule>
    <cfRule type="expression" dxfId="4" priority="6606">
      <formula>AG113="年"</formula>
    </cfRule>
    <cfRule type="expression" dxfId="3" priority="6607">
      <formula>AG113="事"</formula>
    </cfRule>
    <cfRule type="expression" dxfId="2" priority="6608">
      <formula>AG113="病"</formula>
    </cfRule>
  </conditionalFormatting>
  <conditionalFormatting sqref="AH113">
    <cfRule type="expression" dxfId="2" priority="348">
      <formula>AH113="病"</formula>
    </cfRule>
    <cfRule type="expression" dxfId="3" priority="347">
      <formula>AH113="事"</formula>
    </cfRule>
    <cfRule type="expression" dxfId="4" priority="346">
      <formula>AH113="年"</formula>
    </cfRule>
    <cfRule type="expression" dxfId="5" priority="345">
      <formula>AH113="探"</formula>
    </cfRule>
  </conditionalFormatting>
  <conditionalFormatting sqref="AI113">
    <cfRule type="expression" dxfId="2" priority="344">
      <formula>AI113="病"</formula>
    </cfRule>
    <cfRule type="expression" dxfId="3" priority="343">
      <formula>AI113="事"</formula>
    </cfRule>
    <cfRule type="expression" dxfId="4" priority="342">
      <formula>AI113="年"</formula>
    </cfRule>
    <cfRule type="expression" dxfId="5" priority="341">
      <formula>AI113="探"</formula>
    </cfRule>
  </conditionalFormatting>
  <conditionalFormatting sqref="AJ113">
    <cfRule type="expression" dxfId="2" priority="340">
      <formula>AJ113="病"</formula>
    </cfRule>
    <cfRule type="expression" dxfId="3" priority="339">
      <formula>AJ113="事"</formula>
    </cfRule>
    <cfRule type="expression" dxfId="4" priority="338">
      <formula>AJ113="年"</formula>
    </cfRule>
    <cfRule type="expression" dxfId="5" priority="337">
      <formula>AJ113="探"</formula>
    </cfRule>
  </conditionalFormatting>
  <conditionalFormatting sqref="G114:J114">
    <cfRule type="expression" dxfId="5" priority="6197">
      <formula>G114="探"</formula>
    </cfRule>
    <cfRule type="expression" dxfId="4" priority="6198">
      <formula>G114="年"</formula>
    </cfRule>
    <cfRule type="expression" dxfId="3" priority="6199">
      <formula>G114="事"</formula>
    </cfRule>
    <cfRule type="expression" dxfId="2" priority="6200">
      <formula>G114="病"</formula>
    </cfRule>
  </conditionalFormatting>
  <conditionalFormatting sqref="M114:U114">
    <cfRule type="expression" dxfId="5" priority="8533">
      <formula>M114="探"</formula>
    </cfRule>
    <cfRule type="expression" dxfId="4" priority="8534">
      <formula>M114="年"</formula>
    </cfRule>
    <cfRule type="expression" dxfId="3" priority="8535">
      <formula>M114="事"</formula>
    </cfRule>
    <cfRule type="expression" dxfId="2" priority="8536">
      <formula>M114="病"</formula>
    </cfRule>
  </conditionalFormatting>
  <conditionalFormatting sqref="V114">
    <cfRule type="expression" dxfId="5" priority="8357">
      <formula>V114="探"</formula>
    </cfRule>
    <cfRule type="expression" dxfId="4" priority="8358">
      <formula>V114="年"</formula>
    </cfRule>
    <cfRule type="expression" dxfId="3" priority="8359">
      <formula>V114="事"</formula>
    </cfRule>
    <cfRule type="expression" dxfId="2" priority="8360">
      <formula>V114="病"</formula>
    </cfRule>
  </conditionalFormatting>
  <conditionalFormatting sqref="W114:X114">
    <cfRule type="expression" dxfId="5" priority="8361">
      <formula>W114="探"</formula>
    </cfRule>
    <cfRule type="expression" dxfId="4" priority="8362">
      <formula>W114="年"</formula>
    </cfRule>
    <cfRule type="expression" dxfId="3" priority="8363">
      <formula>W114="事"</formula>
    </cfRule>
    <cfRule type="expression" dxfId="2" priority="8364">
      <formula>W114="病"</formula>
    </cfRule>
  </conditionalFormatting>
  <conditionalFormatting sqref="Y114">
    <cfRule type="expression" dxfId="5" priority="7573">
      <formula>Y114="探"</formula>
    </cfRule>
    <cfRule type="expression" dxfId="4" priority="7574">
      <formula>Y114="年"</formula>
    </cfRule>
    <cfRule type="expression" dxfId="3" priority="7575">
      <formula>Y114="事"</formula>
    </cfRule>
    <cfRule type="expression" dxfId="2" priority="7576">
      <formula>Y114="病"</formula>
    </cfRule>
  </conditionalFormatting>
  <conditionalFormatting sqref="Z114">
    <cfRule type="expression" dxfId="5" priority="7565">
      <formula>Z114="探"</formula>
    </cfRule>
    <cfRule type="expression" dxfId="4" priority="7566">
      <formula>Z114="年"</formula>
    </cfRule>
    <cfRule type="expression" dxfId="3" priority="7567">
      <formula>Z114="事"</formula>
    </cfRule>
    <cfRule type="expression" dxfId="2" priority="7568">
      <formula>Z114="病"</formula>
    </cfRule>
  </conditionalFormatting>
  <conditionalFormatting sqref="AA114:AB114">
    <cfRule type="expression" dxfId="5" priority="7569">
      <formula>AA114="探"</formula>
    </cfRule>
    <cfRule type="expression" dxfId="4" priority="7570">
      <formula>AA114="年"</formula>
    </cfRule>
    <cfRule type="expression" dxfId="3" priority="7571">
      <formula>AA114="事"</formula>
    </cfRule>
    <cfRule type="expression" dxfId="2" priority="7572">
      <formula>AA114="病"</formula>
    </cfRule>
  </conditionalFormatting>
  <conditionalFormatting sqref="AC114">
    <cfRule type="expression" dxfId="5" priority="7561">
      <formula>AC114="探"</formula>
    </cfRule>
    <cfRule type="expression" dxfId="4" priority="7562">
      <formula>AC114="年"</formula>
    </cfRule>
    <cfRule type="expression" dxfId="3" priority="7563">
      <formula>AC114="事"</formula>
    </cfRule>
    <cfRule type="expression" dxfId="2" priority="7564">
      <formula>AC114="病"</formula>
    </cfRule>
  </conditionalFormatting>
  <conditionalFormatting sqref="AD114">
    <cfRule type="expression" dxfId="5" priority="7553">
      <formula>AD114="探"</formula>
    </cfRule>
    <cfRule type="expression" dxfId="4" priority="7554">
      <formula>AD114="年"</formula>
    </cfRule>
    <cfRule type="expression" dxfId="3" priority="7555">
      <formula>AD114="事"</formula>
    </cfRule>
    <cfRule type="expression" dxfId="2" priority="7556">
      <formula>AD114="病"</formula>
    </cfRule>
  </conditionalFormatting>
  <conditionalFormatting sqref="AE114">
    <cfRule type="expression" dxfId="5" priority="7557">
      <formula>AE114="探"</formula>
    </cfRule>
    <cfRule type="expression" dxfId="4" priority="7558">
      <formula>AE114="年"</formula>
    </cfRule>
    <cfRule type="expression" dxfId="3" priority="7559">
      <formula>AE114="事"</formula>
    </cfRule>
    <cfRule type="expression" dxfId="2" priority="7560">
      <formula>AE114="病"</formula>
    </cfRule>
  </conditionalFormatting>
  <conditionalFormatting sqref="AF114">
    <cfRule type="expression" dxfId="2" priority="336">
      <formula>AF114="病"</formula>
    </cfRule>
    <cfRule type="expression" dxfId="3" priority="335">
      <formula>AF114="事"</formula>
    </cfRule>
    <cfRule type="expression" dxfId="4" priority="334">
      <formula>AF114="年"</formula>
    </cfRule>
    <cfRule type="expression" dxfId="5" priority="333">
      <formula>AF114="探"</formula>
    </cfRule>
  </conditionalFormatting>
  <conditionalFormatting sqref="AG114">
    <cfRule type="expression" dxfId="2" priority="332">
      <formula>AG114="病"</formula>
    </cfRule>
    <cfRule type="expression" dxfId="3" priority="331">
      <formula>AG114="事"</formula>
    </cfRule>
    <cfRule type="expression" dxfId="4" priority="330">
      <formula>AG114="年"</formula>
    </cfRule>
    <cfRule type="expression" dxfId="5" priority="329">
      <formula>AG114="探"</formula>
    </cfRule>
  </conditionalFormatting>
  <conditionalFormatting sqref="AH114">
    <cfRule type="expression" dxfId="2" priority="324">
      <formula>AH114="病"</formula>
    </cfRule>
    <cfRule type="expression" dxfId="3" priority="323">
      <formula>AH114="事"</formula>
    </cfRule>
    <cfRule type="expression" dxfId="4" priority="322">
      <formula>AH114="年"</formula>
    </cfRule>
    <cfRule type="expression" dxfId="5" priority="321">
      <formula>AH114="探"</formula>
    </cfRule>
  </conditionalFormatting>
  <conditionalFormatting sqref="AI114">
    <cfRule type="expression" dxfId="2" priority="328">
      <formula>AI114="病"</formula>
    </cfRule>
    <cfRule type="expression" dxfId="3" priority="327">
      <formula>AI114="事"</formula>
    </cfRule>
    <cfRule type="expression" dxfId="4" priority="326">
      <formula>AI114="年"</formula>
    </cfRule>
    <cfRule type="expression" dxfId="5" priority="325">
      <formula>AI114="探"</formula>
    </cfRule>
  </conditionalFormatting>
  <conditionalFormatting sqref="AJ114:AK114">
    <cfRule type="expression" dxfId="5" priority="6597">
      <formula>AJ114="探"</formula>
    </cfRule>
    <cfRule type="expression" dxfId="4" priority="6598">
      <formula>AJ114="年"</formula>
    </cfRule>
    <cfRule type="expression" dxfId="3" priority="6599">
      <formula>AJ114="事"</formula>
    </cfRule>
    <cfRule type="expression" dxfId="2" priority="6600">
      <formula>AJ114="病"</formula>
    </cfRule>
  </conditionalFormatting>
  <conditionalFormatting sqref="O115:R115">
    <cfRule type="expression" dxfId="5" priority="3349">
      <formula>O115="探"</formula>
    </cfRule>
    <cfRule type="expression" dxfId="4" priority="3350">
      <formula>O115="年"</formula>
    </cfRule>
    <cfRule type="expression" dxfId="3" priority="3351">
      <formula>O115="事"</formula>
    </cfRule>
    <cfRule type="expression" dxfId="2" priority="3352">
      <formula>O115="病"</formula>
    </cfRule>
  </conditionalFormatting>
  <conditionalFormatting sqref="S115:V115">
    <cfRule type="expression" dxfId="5" priority="3345">
      <formula>S115="探"</formula>
    </cfRule>
    <cfRule type="expression" dxfId="4" priority="3346">
      <formula>S115="年"</formula>
    </cfRule>
    <cfRule type="expression" dxfId="3" priority="3347">
      <formula>S115="事"</formula>
    </cfRule>
    <cfRule type="expression" dxfId="2" priority="3348">
      <formula>S115="病"</formula>
    </cfRule>
  </conditionalFormatting>
  <conditionalFormatting sqref="W115:Z115">
    <cfRule type="expression" dxfId="5" priority="3341">
      <formula>W115="探"</formula>
    </cfRule>
    <cfRule type="expression" dxfId="4" priority="3342">
      <formula>W115="年"</formula>
    </cfRule>
    <cfRule type="expression" dxfId="3" priority="3343">
      <formula>W115="事"</formula>
    </cfRule>
    <cfRule type="expression" dxfId="2" priority="3344">
      <formula>W115="病"</formula>
    </cfRule>
  </conditionalFormatting>
  <conditionalFormatting sqref="AA115">
    <cfRule type="expression" dxfId="5" priority="7593">
      <formula>AA115="探"</formula>
    </cfRule>
    <cfRule type="expression" dxfId="4" priority="7594">
      <formula>AA115="年"</formula>
    </cfRule>
    <cfRule type="expression" dxfId="3" priority="7595">
      <formula>AA115="事"</formula>
    </cfRule>
    <cfRule type="expression" dxfId="2" priority="7596">
      <formula>AA115="病"</formula>
    </cfRule>
  </conditionalFormatting>
  <conditionalFormatting sqref="AB115">
    <cfRule type="expression" dxfId="5" priority="7589">
      <formula>AB115="探"</formula>
    </cfRule>
    <cfRule type="expression" dxfId="4" priority="7590">
      <formula>AB115="年"</formula>
    </cfRule>
    <cfRule type="expression" dxfId="3" priority="7591">
      <formula>AB115="事"</formula>
    </cfRule>
    <cfRule type="expression" dxfId="2" priority="7592">
      <formula>AB115="病"</formula>
    </cfRule>
  </conditionalFormatting>
  <conditionalFormatting sqref="AC115">
    <cfRule type="expression" dxfId="5" priority="7585">
      <formula>AC115="探"</formula>
    </cfRule>
    <cfRule type="expression" dxfId="4" priority="7586">
      <formula>AC115="年"</formula>
    </cfRule>
    <cfRule type="expression" dxfId="3" priority="7587">
      <formula>AC115="事"</formula>
    </cfRule>
    <cfRule type="expression" dxfId="2" priority="7588">
      <formula>AC115="病"</formula>
    </cfRule>
  </conditionalFormatting>
  <conditionalFormatting sqref="AD115:AI115">
    <cfRule type="expression" dxfId="2" priority="320">
      <formula>AD115="病"</formula>
    </cfRule>
    <cfRule type="expression" dxfId="3" priority="319">
      <formula>AD115="事"</formula>
    </cfRule>
    <cfRule type="expression" dxfId="4" priority="318">
      <formula>AD115="年"</formula>
    </cfRule>
    <cfRule type="expression" dxfId="5" priority="317">
      <formula>AD115="探"</formula>
    </cfRule>
  </conditionalFormatting>
  <conditionalFormatting sqref="AJ115:AK115">
    <cfRule type="expression" dxfId="2" priority="316">
      <formula>AJ115="病"</formula>
    </cfRule>
    <cfRule type="expression" dxfId="3" priority="315">
      <formula>AJ115="事"</formula>
    </cfRule>
    <cfRule type="expression" dxfId="4" priority="314">
      <formula>AJ115="年"</formula>
    </cfRule>
    <cfRule type="expression" dxfId="5" priority="313">
      <formula>AJ115="探"</formula>
    </cfRule>
  </conditionalFormatting>
  <conditionalFormatting sqref="H116:J116">
    <cfRule type="expression" dxfId="5" priority="3385">
      <formula>H116="探"</formula>
    </cfRule>
    <cfRule type="expression" dxfId="4" priority="3386">
      <formula>H116="年"</formula>
    </cfRule>
    <cfRule type="expression" dxfId="3" priority="3387">
      <formula>H116="事"</formula>
    </cfRule>
    <cfRule type="expression" dxfId="2" priority="3388">
      <formula>H116="病"</formula>
    </cfRule>
  </conditionalFormatting>
  <conditionalFormatting sqref="K116:L116">
    <cfRule type="expression" dxfId="5" priority="3389">
      <formula>K116="探"</formula>
    </cfRule>
    <cfRule type="expression" dxfId="4" priority="3390">
      <formula>K116="年"</formula>
    </cfRule>
    <cfRule type="expression" dxfId="3" priority="3391">
      <formula>K116="事"</formula>
    </cfRule>
    <cfRule type="expression" dxfId="2" priority="3392">
      <formula>K116="病"</formula>
    </cfRule>
  </conditionalFormatting>
  <conditionalFormatting sqref="M116">
    <cfRule type="expression" dxfId="5" priority="3357">
      <formula>M116="探"</formula>
    </cfRule>
    <cfRule type="expression" dxfId="4" priority="3358">
      <formula>M116="年"</formula>
    </cfRule>
    <cfRule type="expression" dxfId="3" priority="3359">
      <formula>M116="事"</formula>
    </cfRule>
    <cfRule type="expression" dxfId="2" priority="3360">
      <formula>M116="病"</formula>
    </cfRule>
  </conditionalFormatting>
  <conditionalFormatting sqref="N116:O116">
    <cfRule type="expression" dxfId="5" priority="3353">
      <formula>N116="探"</formula>
    </cfRule>
    <cfRule type="expression" dxfId="4" priority="3354">
      <formula>N116="年"</formula>
    </cfRule>
    <cfRule type="expression" dxfId="3" priority="3355">
      <formula>N116="事"</formula>
    </cfRule>
    <cfRule type="expression" dxfId="2" priority="3356">
      <formula>N116="病"</formula>
    </cfRule>
  </conditionalFormatting>
  <conditionalFormatting sqref="P116">
    <cfRule type="expression" dxfId="5" priority="3365">
      <formula>P116="探"</formula>
    </cfRule>
    <cfRule type="expression" dxfId="4" priority="3366">
      <formula>P116="年"</formula>
    </cfRule>
    <cfRule type="expression" dxfId="3" priority="3367">
      <formula>P116="事"</formula>
    </cfRule>
    <cfRule type="expression" dxfId="2" priority="3368">
      <formula>P116="病"</formula>
    </cfRule>
  </conditionalFormatting>
  <conditionalFormatting sqref="Q116:R116">
    <cfRule type="expression" dxfId="5" priority="3361">
      <formula>Q116="探"</formula>
    </cfRule>
    <cfRule type="expression" dxfId="4" priority="3362">
      <formula>Q116="年"</formula>
    </cfRule>
    <cfRule type="expression" dxfId="3" priority="3363">
      <formula>Q116="事"</formula>
    </cfRule>
    <cfRule type="expression" dxfId="2" priority="3364">
      <formula>Q116="病"</formula>
    </cfRule>
  </conditionalFormatting>
  <conditionalFormatting sqref="S116">
    <cfRule type="expression" dxfId="5" priority="3373">
      <formula>S116="探"</formula>
    </cfRule>
    <cfRule type="expression" dxfId="4" priority="3374">
      <formula>S116="年"</formula>
    </cfRule>
    <cfRule type="expression" dxfId="3" priority="3375">
      <formula>S116="事"</formula>
    </cfRule>
    <cfRule type="expression" dxfId="2" priority="3376">
      <formula>S116="病"</formula>
    </cfRule>
  </conditionalFormatting>
  <conditionalFormatting sqref="T116:U116">
    <cfRule type="expression" dxfId="5" priority="3369">
      <formula>T116="探"</formula>
    </cfRule>
    <cfRule type="expression" dxfId="4" priority="3370">
      <formula>T116="年"</formula>
    </cfRule>
    <cfRule type="expression" dxfId="3" priority="3371">
      <formula>T116="事"</formula>
    </cfRule>
    <cfRule type="expression" dxfId="2" priority="3372">
      <formula>T116="病"</formula>
    </cfRule>
  </conditionalFormatting>
  <conditionalFormatting sqref="V116">
    <cfRule type="expression" dxfId="5" priority="3381">
      <formula>V116="探"</formula>
    </cfRule>
    <cfRule type="expression" dxfId="4" priority="3382">
      <formula>V116="年"</formula>
    </cfRule>
    <cfRule type="expression" dxfId="3" priority="3383">
      <formula>V116="事"</formula>
    </cfRule>
    <cfRule type="expression" dxfId="2" priority="3384">
      <formula>V116="病"</formula>
    </cfRule>
  </conditionalFormatting>
  <conditionalFormatting sqref="W116:X116">
    <cfRule type="expression" dxfId="5" priority="3377">
      <formula>W116="探"</formula>
    </cfRule>
    <cfRule type="expression" dxfId="4" priority="3378">
      <formula>W116="年"</formula>
    </cfRule>
    <cfRule type="expression" dxfId="3" priority="3379">
      <formula>W116="事"</formula>
    </cfRule>
    <cfRule type="expression" dxfId="2" priority="3380">
      <formula>W116="病"</formula>
    </cfRule>
  </conditionalFormatting>
  <conditionalFormatting sqref="Y116">
    <cfRule type="expression" dxfId="5" priority="7621">
      <formula>Y116="探"</formula>
    </cfRule>
    <cfRule type="expression" dxfId="4" priority="7622">
      <formula>Y116="年"</formula>
    </cfRule>
    <cfRule type="expression" dxfId="3" priority="7623">
      <formula>Y116="事"</formula>
    </cfRule>
    <cfRule type="expression" dxfId="2" priority="7624">
      <formula>Y116="病"</formula>
    </cfRule>
  </conditionalFormatting>
  <conditionalFormatting sqref="Z116">
    <cfRule type="expression" dxfId="5" priority="7625">
      <formula>Z116="探"</formula>
    </cfRule>
    <cfRule type="expression" dxfId="4" priority="7626">
      <formula>Z116="年"</formula>
    </cfRule>
    <cfRule type="expression" dxfId="3" priority="7627">
      <formula>Z116="事"</formula>
    </cfRule>
    <cfRule type="expression" dxfId="2" priority="7628">
      <formula>Z116="病"</formula>
    </cfRule>
  </conditionalFormatting>
  <conditionalFormatting sqref="AA116">
    <cfRule type="expression" dxfId="5" priority="7617">
      <formula>AA116="探"</formula>
    </cfRule>
    <cfRule type="expression" dxfId="4" priority="7618">
      <formula>AA116="年"</formula>
    </cfRule>
    <cfRule type="expression" dxfId="3" priority="7619">
      <formula>AA116="事"</formula>
    </cfRule>
    <cfRule type="expression" dxfId="2" priority="7620">
      <formula>AA116="病"</formula>
    </cfRule>
  </conditionalFormatting>
  <conditionalFormatting sqref="AB116">
    <cfRule type="expression" dxfId="5" priority="7613">
      <formula>AB116="探"</formula>
    </cfRule>
    <cfRule type="expression" dxfId="4" priority="7614">
      <formula>AB116="年"</formula>
    </cfRule>
    <cfRule type="expression" dxfId="3" priority="7615">
      <formula>AB116="事"</formula>
    </cfRule>
    <cfRule type="expression" dxfId="2" priority="7616">
      <formula>AB116="病"</formula>
    </cfRule>
  </conditionalFormatting>
  <conditionalFormatting sqref="AC116">
    <cfRule type="expression" dxfId="5" priority="7605">
      <formula>AC116="探"</formula>
    </cfRule>
    <cfRule type="expression" dxfId="4" priority="7606">
      <formula>AC116="年"</formula>
    </cfRule>
    <cfRule type="expression" dxfId="3" priority="7607">
      <formula>AC116="事"</formula>
    </cfRule>
    <cfRule type="expression" dxfId="2" priority="7608">
      <formula>AC116="病"</formula>
    </cfRule>
  </conditionalFormatting>
  <conditionalFormatting sqref="AD116">
    <cfRule type="expression" dxfId="5" priority="7609">
      <formula>AD116="探"</formula>
    </cfRule>
    <cfRule type="expression" dxfId="4" priority="7610">
      <formula>AD116="年"</formula>
    </cfRule>
    <cfRule type="expression" dxfId="3" priority="7611">
      <formula>AD116="事"</formula>
    </cfRule>
    <cfRule type="expression" dxfId="2" priority="7612">
      <formula>AD116="病"</formula>
    </cfRule>
  </conditionalFormatting>
  <conditionalFormatting sqref="AE116">
    <cfRule type="expression" dxfId="2" priority="312">
      <formula>AE116="病"</formula>
    </cfRule>
    <cfRule type="expression" dxfId="3" priority="311">
      <formula>AE116="事"</formula>
    </cfRule>
    <cfRule type="expression" dxfId="4" priority="310">
      <formula>AE116="年"</formula>
    </cfRule>
    <cfRule type="expression" dxfId="5" priority="309">
      <formula>AE116="探"</formula>
    </cfRule>
  </conditionalFormatting>
  <conditionalFormatting sqref="AF116">
    <cfRule type="expression" dxfId="2" priority="308">
      <formula>AF116="病"</formula>
    </cfRule>
    <cfRule type="expression" dxfId="3" priority="307">
      <formula>AF116="事"</formula>
    </cfRule>
    <cfRule type="expression" dxfId="4" priority="306">
      <formula>AF116="年"</formula>
    </cfRule>
    <cfRule type="expression" dxfId="5" priority="305">
      <formula>AF116="探"</formula>
    </cfRule>
  </conditionalFormatting>
  <conditionalFormatting sqref="AG116">
    <cfRule type="expression" dxfId="2" priority="300">
      <formula>AG116="病"</formula>
    </cfRule>
    <cfRule type="expression" dxfId="3" priority="299">
      <formula>AG116="事"</formula>
    </cfRule>
    <cfRule type="expression" dxfId="4" priority="298">
      <formula>AG116="年"</formula>
    </cfRule>
    <cfRule type="expression" dxfId="5" priority="297">
      <formula>AG116="探"</formula>
    </cfRule>
  </conditionalFormatting>
  <conditionalFormatting sqref="AH116">
    <cfRule type="expression" dxfId="2" priority="304">
      <formula>AH116="病"</formula>
    </cfRule>
    <cfRule type="expression" dxfId="3" priority="303">
      <formula>AH116="事"</formula>
    </cfRule>
    <cfRule type="expression" dxfId="4" priority="302">
      <formula>AH116="年"</formula>
    </cfRule>
    <cfRule type="expression" dxfId="5" priority="301">
      <formula>AH116="探"</formula>
    </cfRule>
  </conditionalFormatting>
  <conditionalFormatting sqref="AI116">
    <cfRule type="expression" dxfId="2" priority="296">
      <formula>AI116="病"</formula>
    </cfRule>
    <cfRule type="expression" dxfId="3" priority="295">
      <formula>AI116="事"</formula>
    </cfRule>
    <cfRule type="expression" dxfId="4" priority="294">
      <formula>AI116="年"</formula>
    </cfRule>
    <cfRule type="expression" dxfId="5" priority="293">
      <formula>AI116="探"</formula>
    </cfRule>
  </conditionalFormatting>
  <conditionalFormatting sqref="AJ116">
    <cfRule type="expression" dxfId="2" priority="292">
      <formula>AJ116="病"</formula>
    </cfRule>
    <cfRule type="expression" dxfId="3" priority="291">
      <formula>AJ116="事"</formula>
    </cfRule>
    <cfRule type="expression" dxfId="4" priority="290">
      <formula>AJ116="年"</formula>
    </cfRule>
    <cfRule type="expression" dxfId="5" priority="289">
      <formula>AJ116="探"</formula>
    </cfRule>
  </conditionalFormatting>
  <conditionalFormatting sqref="AK116">
    <cfRule type="expression" dxfId="2" priority="284">
      <formula>AK116="病"</formula>
    </cfRule>
    <cfRule type="expression" dxfId="3" priority="283">
      <formula>AK116="事"</formula>
    </cfRule>
    <cfRule type="expression" dxfId="4" priority="282">
      <formula>AK116="年"</formula>
    </cfRule>
    <cfRule type="expression" dxfId="5" priority="281">
      <formula>AK116="探"</formula>
    </cfRule>
  </conditionalFormatting>
  <conditionalFormatting sqref="M117:O117">
    <cfRule type="expression" dxfId="5" priority="8529">
      <formula>M117="探"</formula>
    </cfRule>
    <cfRule type="expression" dxfId="4" priority="8530">
      <formula>M117="年"</formula>
    </cfRule>
    <cfRule type="expression" dxfId="3" priority="8531">
      <formula>M117="事"</formula>
    </cfRule>
    <cfRule type="expression" dxfId="2" priority="8532">
      <formula>M117="病"</formula>
    </cfRule>
  </conditionalFormatting>
  <conditionalFormatting sqref="P117:Q117">
    <cfRule type="expression" dxfId="5" priority="3337">
      <formula>P117="探"</formula>
    </cfRule>
    <cfRule type="expression" dxfId="4" priority="3338">
      <formula>P117="年"</formula>
    </cfRule>
    <cfRule type="expression" dxfId="3" priority="3339">
      <formula>P117="事"</formula>
    </cfRule>
    <cfRule type="expression" dxfId="2" priority="3340">
      <formula>P117="病"</formula>
    </cfRule>
  </conditionalFormatting>
  <conditionalFormatting sqref="R117">
    <cfRule type="expression" dxfId="5" priority="3333">
      <formula>R117="探"</formula>
    </cfRule>
    <cfRule type="expression" dxfId="4" priority="3334">
      <formula>R117="年"</formula>
    </cfRule>
    <cfRule type="expression" dxfId="3" priority="3335">
      <formula>R117="事"</formula>
    </cfRule>
    <cfRule type="expression" dxfId="2" priority="3336">
      <formula>R117="病"</formula>
    </cfRule>
  </conditionalFormatting>
  <conditionalFormatting sqref="S117">
    <cfRule type="expression" dxfId="5" priority="3329">
      <formula>S117="探"</formula>
    </cfRule>
    <cfRule type="expression" dxfId="4" priority="3330">
      <formula>S117="年"</formula>
    </cfRule>
    <cfRule type="expression" dxfId="3" priority="3331">
      <formula>S117="事"</formula>
    </cfRule>
    <cfRule type="expression" dxfId="2" priority="3332">
      <formula>S117="病"</formula>
    </cfRule>
  </conditionalFormatting>
  <conditionalFormatting sqref="T117:U117">
    <cfRule type="expression" dxfId="5" priority="3325">
      <formula>T117="探"</formula>
    </cfRule>
    <cfRule type="expression" dxfId="4" priority="3326">
      <formula>T117="年"</formula>
    </cfRule>
    <cfRule type="expression" dxfId="3" priority="3327">
      <formula>T117="事"</formula>
    </cfRule>
    <cfRule type="expression" dxfId="2" priority="3328">
      <formula>T117="病"</formula>
    </cfRule>
  </conditionalFormatting>
  <conditionalFormatting sqref="V117">
    <cfRule type="expression" dxfId="5" priority="3321">
      <formula>V117="探"</formula>
    </cfRule>
    <cfRule type="expression" dxfId="4" priority="3322">
      <formula>V117="年"</formula>
    </cfRule>
    <cfRule type="expression" dxfId="3" priority="3323">
      <formula>V117="事"</formula>
    </cfRule>
    <cfRule type="expression" dxfId="2" priority="3324">
      <formula>V117="病"</formula>
    </cfRule>
  </conditionalFormatting>
  <conditionalFormatting sqref="W117">
    <cfRule type="expression" dxfId="5" priority="3317">
      <formula>W117="探"</formula>
    </cfRule>
    <cfRule type="expression" dxfId="4" priority="3318">
      <formula>W117="年"</formula>
    </cfRule>
    <cfRule type="expression" dxfId="3" priority="3319">
      <formula>W117="事"</formula>
    </cfRule>
    <cfRule type="expression" dxfId="2" priority="3320">
      <formula>W117="病"</formula>
    </cfRule>
  </conditionalFormatting>
  <conditionalFormatting sqref="X117">
    <cfRule type="expression" dxfId="5" priority="3313">
      <formula>X117="探"</formula>
    </cfRule>
    <cfRule type="expression" dxfId="4" priority="3314">
      <formula>X117="年"</formula>
    </cfRule>
    <cfRule type="expression" dxfId="3" priority="3315">
      <formula>X117="事"</formula>
    </cfRule>
    <cfRule type="expression" dxfId="2" priority="3316">
      <formula>X117="病"</formula>
    </cfRule>
  </conditionalFormatting>
  <conditionalFormatting sqref="Y117:AB117">
    <cfRule type="expression" dxfId="5" priority="7633">
      <formula>Y117="探"</formula>
    </cfRule>
    <cfRule type="expression" dxfId="4" priority="7634">
      <formula>Y117="年"</formula>
    </cfRule>
    <cfRule type="expression" dxfId="3" priority="7635">
      <formula>Y117="事"</formula>
    </cfRule>
    <cfRule type="expression" dxfId="2" priority="7636">
      <formula>Y117="病"</formula>
    </cfRule>
  </conditionalFormatting>
  <conditionalFormatting sqref="AC117:AD117">
    <cfRule type="expression" dxfId="5" priority="7629">
      <formula>AC117="探"</formula>
    </cfRule>
    <cfRule type="expression" dxfId="4" priority="7630">
      <formula>AC117="年"</formula>
    </cfRule>
    <cfRule type="expression" dxfId="3" priority="7631">
      <formula>AC117="事"</formula>
    </cfRule>
    <cfRule type="expression" dxfId="2" priority="7632">
      <formula>AC117="病"</formula>
    </cfRule>
  </conditionalFormatting>
  <conditionalFormatting sqref="AE117">
    <cfRule type="expression" dxfId="2" priority="272">
      <formula>AE117="病"</formula>
    </cfRule>
    <cfRule type="expression" dxfId="3" priority="271">
      <formula>AE117="事"</formula>
    </cfRule>
    <cfRule type="expression" dxfId="4" priority="270">
      <formula>AE117="年"</formula>
    </cfRule>
    <cfRule type="expression" dxfId="5" priority="269">
      <formula>AE117="探"</formula>
    </cfRule>
  </conditionalFormatting>
  <conditionalFormatting sqref="AF117:AI117">
    <cfRule type="expression" dxfId="2" priority="280">
      <formula>AF117="病"</formula>
    </cfRule>
    <cfRule type="expression" dxfId="3" priority="279">
      <formula>AF117="事"</formula>
    </cfRule>
    <cfRule type="expression" dxfId="4" priority="278">
      <formula>AF117="年"</formula>
    </cfRule>
    <cfRule type="expression" dxfId="5" priority="277">
      <formula>AF117="探"</formula>
    </cfRule>
  </conditionalFormatting>
  <conditionalFormatting sqref="AJ117">
    <cfRule type="expression" dxfId="2" priority="276">
      <formula>AJ117="病"</formula>
    </cfRule>
    <cfRule type="expression" dxfId="3" priority="275">
      <formula>AJ117="事"</formula>
    </cfRule>
    <cfRule type="expression" dxfId="4" priority="274">
      <formula>AJ117="年"</formula>
    </cfRule>
    <cfRule type="expression" dxfId="5" priority="273">
      <formula>AJ117="探"</formula>
    </cfRule>
  </conditionalFormatting>
  <conditionalFormatting sqref="M118:O118">
    <cfRule type="expression" dxfId="5" priority="5381">
      <formula>M118="探"</formula>
    </cfRule>
    <cfRule type="expression" dxfId="4" priority="5382">
      <formula>M118="年"</formula>
    </cfRule>
    <cfRule type="expression" dxfId="3" priority="5383">
      <formula>M118="事"</formula>
    </cfRule>
    <cfRule type="expression" dxfId="2" priority="5384">
      <formula>M118="病"</formula>
    </cfRule>
  </conditionalFormatting>
  <conditionalFormatting sqref="P118:R118">
    <cfRule type="expression" dxfId="5" priority="3309">
      <formula>P118="探"</formula>
    </cfRule>
    <cfRule type="expression" dxfId="4" priority="3310">
      <formula>P118="年"</formula>
    </cfRule>
    <cfRule type="expression" dxfId="3" priority="3311">
      <formula>P118="事"</formula>
    </cfRule>
    <cfRule type="expression" dxfId="2" priority="3312">
      <formula>P118="病"</formula>
    </cfRule>
  </conditionalFormatting>
  <conditionalFormatting sqref="S118:U118">
    <cfRule type="expression" dxfId="5" priority="3305">
      <formula>S118="探"</formula>
    </cfRule>
    <cfRule type="expression" dxfId="4" priority="3306">
      <formula>S118="年"</formula>
    </cfRule>
    <cfRule type="expression" dxfId="3" priority="3307">
      <formula>S118="事"</formula>
    </cfRule>
    <cfRule type="expression" dxfId="2" priority="3308">
      <formula>S118="病"</formula>
    </cfRule>
  </conditionalFormatting>
  <conditionalFormatting sqref="V118:X118">
    <cfRule type="expression" dxfId="5" priority="3301">
      <formula>V118="探"</formula>
    </cfRule>
    <cfRule type="expression" dxfId="4" priority="3302">
      <formula>V118="年"</formula>
    </cfRule>
    <cfRule type="expression" dxfId="3" priority="3303">
      <formula>V118="事"</formula>
    </cfRule>
    <cfRule type="expression" dxfId="2" priority="3304">
      <formula>V118="病"</formula>
    </cfRule>
  </conditionalFormatting>
  <conditionalFormatting sqref="Y118:AA118">
    <cfRule type="expression" dxfId="5" priority="3297">
      <formula>Y118="探"</formula>
    </cfRule>
    <cfRule type="expression" dxfId="4" priority="3298">
      <formula>Y118="年"</formula>
    </cfRule>
    <cfRule type="expression" dxfId="3" priority="3299">
      <formula>Y118="事"</formula>
    </cfRule>
    <cfRule type="expression" dxfId="2" priority="3300">
      <formula>Y118="病"</formula>
    </cfRule>
  </conditionalFormatting>
  <conditionalFormatting sqref="AE118:AF118">
    <cfRule type="expression" dxfId="2" priority="264">
      <formula>AE118="病"</formula>
    </cfRule>
    <cfRule type="expression" dxfId="3" priority="263">
      <formula>AE118="事"</formula>
    </cfRule>
    <cfRule type="expression" dxfId="4" priority="262">
      <formula>AE118="年"</formula>
    </cfRule>
    <cfRule type="expression" dxfId="5" priority="261">
      <formula>AE118="探"</formula>
    </cfRule>
  </conditionalFormatting>
  <conditionalFormatting sqref="AG118:AI118">
    <cfRule type="expression" dxfId="2" priority="260">
      <formula>AG118="病"</formula>
    </cfRule>
    <cfRule type="expression" dxfId="3" priority="259">
      <formula>AG118="事"</formula>
    </cfRule>
    <cfRule type="expression" dxfId="4" priority="258">
      <formula>AG118="年"</formula>
    </cfRule>
    <cfRule type="expression" dxfId="5" priority="257">
      <formula>AG118="探"</formula>
    </cfRule>
  </conditionalFormatting>
  <conditionalFormatting sqref="AJ118:AK118">
    <cfRule type="expression" dxfId="2" priority="268">
      <formula>AJ118="病"</formula>
    </cfRule>
    <cfRule type="expression" dxfId="3" priority="267">
      <formula>AJ118="事"</formula>
    </cfRule>
    <cfRule type="expression" dxfId="4" priority="266">
      <formula>AJ118="年"</formula>
    </cfRule>
    <cfRule type="expression" dxfId="5" priority="265">
      <formula>AJ118="探"</formula>
    </cfRule>
  </conditionalFormatting>
  <conditionalFormatting sqref="S119:V119">
    <cfRule type="expression" dxfId="5" priority="3293">
      <formula>S119="探"</formula>
    </cfRule>
    <cfRule type="expression" dxfId="4" priority="3294">
      <formula>S119="年"</formula>
    </cfRule>
    <cfRule type="expression" dxfId="3" priority="3295">
      <formula>S119="事"</formula>
    </cfRule>
    <cfRule type="expression" dxfId="2" priority="3296">
      <formula>S119="病"</formula>
    </cfRule>
  </conditionalFormatting>
  <conditionalFormatting sqref="W119:X119">
    <cfRule type="expression" dxfId="5" priority="3289">
      <formula>W119="探"</formula>
    </cfRule>
    <cfRule type="expression" dxfId="4" priority="3290">
      <formula>W119="年"</formula>
    </cfRule>
    <cfRule type="expression" dxfId="3" priority="3291">
      <formula>W119="事"</formula>
    </cfRule>
    <cfRule type="expression" dxfId="2" priority="3292">
      <formula>W119="病"</formula>
    </cfRule>
  </conditionalFormatting>
  <conditionalFormatting sqref="Y119:Z119">
    <cfRule type="expression" dxfId="5" priority="7649">
      <formula>Y119="探"</formula>
    </cfRule>
    <cfRule type="expression" dxfId="4" priority="7650">
      <formula>Y119="年"</formula>
    </cfRule>
    <cfRule type="expression" dxfId="3" priority="7651">
      <formula>Y119="事"</formula>
    </cfRule>
    <cfRule type="expression" dxfId="2" priority="7652">
      <formula>Y119="病"</formula>
    </cfRule>
  </conditionalFormatting>
  <conditionalFormatting sqref="AA119:AB119">
    <cfRule type="expression" dxfId="5" priority="7645">
      <formula>AA119="探"</formula>
    </cfRule>
    <cfRule type="expression" dxfId="4" priority="7646">
      <formula>AA119="年"</formula>
    </cfRule>
    <cfRule type="expression" dxfId="3" priority="7647">
      <formula>AA119="事"</formula>
    </cfRule>
    <cfRule type="expression" dxfId="2" priority="7648">
      <formula>AA119="病"</formula>
    </cfRule>
  </conditionalFormatting>
  <conditionalFormatting sqref="AC119:AD119">
    <cfRule type="expression" dxfId="5" priority="7641">
      <formula>AC119="探"</formula>
    </cfRule>
    <cfRule type="expression" dxfId="4" priority="7642">
      <formula>AC119="年"</formula>
    </cfRule>
    <cfRule type="expression" dxfId="3" priority="7643">
      <formula>AC119="事"</formula>
    </cfRule>
    <cfRule type="expression" dxfId="2" priority="7644">
      <formula>AC119="病"</formula>
    </cfRule>
  </conditionalFormatting>
  <conditionalFormatting sqref="AE119:AF119">
    <cfRule type="expression" dxfId="2" priority="244">
      <formula>AE119="病"</formula>
    </cfRule>
    <cfRule type="expression" dxfId="3" priority="243">
      <formula>AE119="事"</formula>
    </cfRule>
    <cfRule type="expression" dxfId="4" priority="242">
      <formula>AE119="年"</formula>
    </cfRule>
    <cfRule type="expression" dxfId="5" priority="241">
      <formula>AE119="探"</formula>
    </cfRule>
  </conditionalFormatting>
  <conditionalFormatting sqref="AG119:AH119">
    <cfRule type="expression" dxfId="2" priority="256">
      <formula>AG119="病"</formula>
    </cfRule>
    <cfRule type="expression" dxfId="3" priority="255">
      <formula>AG119="事"</formula>
    </cfRule>
    <cfRule type="expression" dxfId="4" priority="254">
      <formula>AG119="年"</formula>
    </cfRule>
    <cfRule type="expression" dxfId="5" priority="253">
      <formula>AG119="探"</formula>
    </cfRule>
  </conditionalFormatting>
  <conditionalFormatting sqref="AI119:AJ119">
    <cfRule type="expression" dxfId="2" priority="252">
      <formula>AI119="病"</formula>
    </cfRule>
    <cfRule type="expression" dxfId="3" priority="251">
      <formula>AI119="事"</formula>
    </cfRule>
    <cfRule type="expression" dxfId="4" priority="250">
      <formula>AI119="年"</formula>
    </cfRule>
    <cfRule type="expression" dxfId="5" priority="249">
      <formula>AI119="探"</formula>
    </cfRule>
  </conditionalFormatting>
  <conditionalFormatting sqref="AK119">
    <cfRule type="expression" dxfId="2" priority="248">
      <formula>AK119="病"</formula>
    </cfRule>
    <cfRule type="expression" dxfId="3" priority="247">
      <formula>AK119="事"</formula>
    </cfRule>
    <cfRule type="expression" dxfId="4" priority="246">
      <formula>AK119="年"</formula>
    </cfRule>
    <cfRule type="expression" dxfId="5" priority="245">
      <formula>AK119="探"</formula>
    </cfRule>
  </conditionalFormatting>
  <conditionalFormatting sqref="G120:H120">
    <cfRule type="expression" dxfId="5" priority="8953">
      <formula>G120="探"</formula>
    </cfRule>
    <cfRule type="expression" dxfId="4" priority="8954">
      <formula>G120="年"</formula>
    </cfRule>
    <cfRule type="expression" dxfId="3" priority="8955">
      <formula>G120="事"</formula>
    </cfRule>
    <cfRule type="expression" dxfId="2" priority="8956">
      <formula>G120="病"</formula>
    </cfRule>
  </conditionalFormatting>
  <conditionalFormatting sqref="I120:J120">
    <cfRule type="expression" dxfId="5" priority="8957">
      <formula>I120="探"</formula>
    </cfRule>
    <cfRule type="expression" dxfId="4" priority="8958">
      <formula>I120="年"</formula>
    </cfRule>
    <cfRule type="expression" dxfId="3" priority="8959">
      <formula>I120="事"</formula>
    </cfRule>
    <cfRule type="expression" dxfId="2" priority="8960">
      <formula>I120="病"</formula>
    </cfRule>
  </conditionalFormatting>
  <conditionalFormatting sqref="K120:N120">
    <cfRule type="expression" dxfId="5" priority="5377">
      <formula>K120="探"</formula>
    </cfRule>
    <cfRule type="expression" dxfId="4" priority="5378">
      <formula>K120="年"</formula>
    </cfRule>
    <cfRule type="expression" dxfId="3" priority="5379">
      <formula>K120="事"</formula>
    </cfRule>
    <cfRule type="expression" dxfId="2" priority="5380">
      <formula>K120="病"</formula>
    </cfRule>
  </conditionalFormatting>
  <conditionalFormatting sqref="O120:T120">
    <cfRule type="expression" dxfId="5" priority="3285">
      <formula>O120="探"</formula>
    </cfRule>
    <cfRule type="expression" dxfId="4" priority="3286">
      <formula>O120="年"</formula>
    </cfRule>
    <cfRule type="expression" dxfId="3" priority="3287">
      <formula>O120="事"</formula>
    </cfRule>
    <cfRule type="expression" dxfId="2" priority="3288">
      <formula>O120="病"</formula>
    </cfRule>
  </conditionalFormatting>
  <conditionalFormatting sqref="U120:X120">
    <cfRule type="expression" dxfId="5" priority="3281">
      <formula>U120="探"</formula>
    </cfRule>
    <cfRule type="expression" dxfId="4" priority="3282">
      <formula>U120="年"</formula>
    </cfRule>
    <cfRule type="expression" dxfId="3" priority="3283">
      <formula>U120="事"</formula>
    </cfRule>
    <cfRule type="expression" dxfId="2" priority="3284">
      <formula>U120="病"</formula>
    </cfRule>
  </conditionalFormatting>
  <conditionalFormatting sqref="Y120">
    <cfRule type="expression" dxfId="5" priority="7665">
      <formula>Y120="探"</formula>
    </cfRule>
    <cfRule type="expression" dxfId="4" priority="7666">
      <formula>Y120="年"</formula>
    </cfRule>
    <cfRule type="expression" dxfId="3" priority="7667">
      <formula>Y120="事"</formula>
    </cfRule>
    <cfRule type="expression" dxfId="2" priority="7668">
      <formula>Y120="病"</formula>
    </cfRule>
  </conditionalFormatting>
  <conditionalFormatting sqref="Z120:AA120">
    <cfRule type="expression" dxfId="5" priority="7661">
      <formula>Z120="探"</formula>
    </cfRule>
    <cfRule type="expression" dxfId="4" priority="7662">
      <formula>Z120="年"</formula>
    </cfRule>
    <cfRule type="expression" dxfId="3" priority="7663">
      <formula>Z120="事"</formula>
    </cfRule>
    <cfRule type="expression" dxfId="2" priority="7664">
      <formula>Z120="病"</formula>
    </cfRule>
  </conditionalFormatting>
  <conditionalFormatting sqref="AB120:AC120">
    <cfRule type="expression" dxfId="5" priority="7657">
      <formula>AB120="探"</formula>
    </cfRule>
    <cfRule type="expression" dxfId="4" priority="7658">
      <formula>AB120="年"</formula>
    </cfRule>
    <cfRule type="expression" dxfId="3" priority="7659">
      <formula>AB120="事"</formula>
    </cfRule>
    <cfRule type="expression" dxfId="2" priority="7660">
      <formula>AB120="病"</formula>
    </cfRule>
  </conditionalFormatting>
  <conditionalFormatting sqref="AD120">
    <cfRule type="expression" dxfId="5" priority="7653">
      <formula>AD120="探"</formula>
    </cfRule>
    <cfRule type="expression" dxfId="4" priority="7654">
      <formula>AD120="年"</formula>
    </cfRule>
    <cfRule type="expression" dxfId="3" priority="7655">
      <formula>AD120="事"</formula>
    </cfRule>
    <cfRule type="expression" dxfId="2" priority="7656">
      <formula>AD120="病"</formula>
    </cfRule>
  </conditionalFormatting>
  <conditionalFormatting sqref="AE120:AJ120">
    <cfRule type="expression" dxfId="2" priority="240">
      <formula>AE120="病"</formula>
    </cfRule>
    <cfRule type="expression" dxfId="3" priority="239">
      <formula>AE120="事"</formula>
    </cfRule>
    <cfRule type="expression" dxfId="4" priority="238">
      <formula>AE120="年"</formula>
    </cfRule>
    <cfRule type="expression" dxfId="5" priority="237">
      <formula>AE120="探"</formula>
    </cfRule>
  </conditionalFormatting>
  <conditionalFormatting sqref="AK120">
    <cfRule type="expression" dxfId="2" priority="236">
      <formula>AK120="病"</formula>
    </cfRule>
    <cfRule type="expression" dxfId="3" priority="235">
      <formula>AK120="事"</formula>
    </cfRule>
    <cfRule type="expression" dxfId="4" priority="234">
      <formula>AK120="年"</formula>
    </cfRule>
    <cfRule type="expression" dxfId="5" priority="233">
      <formula>AK120="探"</formula>
    </cfRule>
  </conditionalFormatting>
  <conditionalFormatting sqref="L121:N121">
    <cfRule type="expression" dxfId="5" priority="5373">
      <formula>L121="探"</formula>
    </cfRule>
    <cfRule type="expression" dxfId="4" priority="5374">
      <formula>L121="年"</formula>
    </cfRule>
    <cfRule type="expression" dxfId="3" priority="5375">
      <formula>L121="事"</formula>
    </cfRule>
    <cfRule type="expression" dxfId="2" priority="5376">
      <formula>L121="病"</formula>
    </cfRule>
  </conditionalFormatting>
  <conditionalFormatting sqref="O121">
    <cfRule type="expression" dxfId="5" priority="3277">
      <formula>O121="探"</formula>
    </cfRule>
    <cfRule type="expression" dxfId="4" priority="3278">
      <formula>O121="年"</formula>
    </cfRule>
    <cfRule type="expression" dxfId="3" priority="3279">
      <formula>O121="事"</formula>
    </cfRule>
    <cfRule type="expression" dxfId="2" priority="3280">
      <formula>O121="病"</formula>
    </cfRule>
  </conditionalFormatting>
  <conditionalFormatting sqref="P121:U121">
    <cfRule type="expression" dxfId="5" priority="3273">
      <formula>P121="探"</formula>
    </cfRule>
    <cfRule type="expression" dxfId="4" priority="3274">
      <formula>P121="年"</formula>
    </cfRule>
    <cfRule type="expression" dxfId="3" priority="3275">
      <formula>P121="事"</formula>
    </cfRule>
    <cfRule type="expression" dxfId="2" priority="3276">
      <formula>P121="病"</formula>
    </cfRule>
  </conditionalFormatting>
  <conditionalFormatting sqref="V121:Y121">
    <cfRule type="expression" dxfId="5" priority="3269">
      <formula>V121="探"</formula>
    </cfRule>
    <cfRule type="expression" dxfId="4" priority="3270">
      <formula>V121="年"</formula>
    </cfRule>
    <cfRule type="expression" dxfId="3" priority="3271">
      <formula>V121="事"</formula>
    </cfRule>
    <cfRule type="expression" dxfId="2" priority="3272">
      <formula>V121="病"</formula>
    </cfRule>
  </conditionalFormatting>
  <conditionalFormatting sqref="Z121">
    <cfRule type="expression" dxfId="5" priority="7681">
      <formula>Z121="探"</formula>
    </cfRule>
    <cfRule type="expression" dxfId="4" priority="7682">
      <formula>Z121="年"</formula>
    </cfRule>
    <cfRule type="expression" dxfId="3" priority="7683">
      <formula>Z121="事"</formula>
    </cfRule>
    <cfRule type="expression" dxfId="2" priority="7684">
      <formula>Z121="病"</formula>
    </cfRule>
  </conditionalFormatting>
  <conditionalFormatting sqref="AA121:AB121">
    <cfRule type="expression" dxfId="5" priority="7677">
      <formula>AA121="探"</formula>
    </cfRule>
    <cfRule type="expression" dxfId="4" priority="7678">
      <formula>AA121="年"</formula>
    </cfRule>
    <cfRule type="expression" dxfId="3" priority="7679">
      <formula>AA121="事"</formula>
    </cfRule>
    <cfRule type="expression" dxfId="2" priority="7680">
      <formula>AA121="病"</formula>
    </cfRule>
  </conditionalFormatting>
  <conditionalFormatting sqref="AC121:AD121">
    <cfRule type="expression" dxfId="5" priority="7673">
      <formula>AC121="探"</formula>
    </cfRule>
    <cfRule type="expression" dxfId="4" priority="7674">
      <formula>AC121="年"</formula>
    </cfRule>
    <cfRule type="expression" dxfId="3" priority="7675">
      <formula>AC121="事"</formula>
    </cfRule>
    <cfRule type="expression" dxfId="2" priority="7676">
      <formula>AC121="病"</formula>
    </cfRule>
  </conditionalFormatting>
  <conditionalFormatting sqref="AE121:AH121">
    <cfRule type="expression" dxfId="2" priority="224">
      <formula>AE121="病"</formula>
    </cfRule>
    <cfRule type="expression" dxfId="3" priority="223">
      <formula>AE121="事"</formula>
    </cfRule>
    <cfRule type="expression" dxfId="4" priority="222">
      <formula>AE121="年"</formula>
    </cfRule>
    <cfRule type="expression" dxfId="5" priority="221">
      <formula>AE121="探"</formula>
    </cfRule>
  </conditionalFormatting>
  <conditionalFormatting sqref="AI121">
    <cfRule type="expression" dxfId="2" priority="232">
      <formula>AI121="病"</formula>
    </cfRule>
    <cfRule type="expression" dxfId="3" priority="231">
      <formula>AI121="事"</formula>
    </cfRule>
    <cfRule type="expression" dxfId="4" priority="230">
      <formula>AI121="年"</formula>
    </cfRule>
    <cfRule type="expression" dxfId="5" priority="229">
      <formula>AI121="探"</formula>
    </cfRule>
  </conditionalFormatting>
  <conditionalFormatting sqref="AJ121">
    <cfRule type="expression" dxfId="2" priority="228">
      <formula>AJ121="病"</formula>
    </cfRule>
    <cfRule type="expression" dxfId="3" priority="227">
      <formula>AJ121="事"</formula>
    </cfRule>
    <cfRule type="expression" dxfId="4" priority="226">
      <formula>AJ121="年"</formula>
    </cfRule>
    <cfRule type="expression" dxfId="5" priority="225">
      <formula>AJ121="探"</formula>
    </cfRule>
  </conditionalFormatting>
  <conditionalFormatting sqref="AK121">
    <cfRule type="expression" dxfId="5" priority="6541">
      <formula>AK121="探"</formula>
    </cfRule>
    <cfRule type="expression" dxfId="4" priority="6542">
      <formula>AK121="年"</formula>
    </cfRule>
    <cfRule type="expression" dxfId="3" priority="6543">
      <formula>AK121="事"</formula>
    </cfRule>
    <cfRule type="expression" dxfId="2" priority="6544">
      <formula>AK121="病"</formula>
    </cfRule>
  </conditionalFormatting>
  <conditionalFormatting sqref="J122">
    <cfRule type="expression" dxfId="5" priority="8781">
      <formula>J122="探"</formula>
    </cfRule>
    <cfRule type="expression" dxfId="4" priority="8782">
      <formula>J122="年"</formula>
    </cfRule>
    <cfRule type="expression" dxfId="3" priority="8783">
      <formula>J122="事"</formula>
    </cfRule>
    <cfRule type="expression" dxfId="2" priority="8784">
      <formula>J122="病"</formula>
    </cfRule>
  </conditionalFormatting>
  <conditionalFormatting sqref="K122:N122">
    <cfRule type="expression" dxfId="5" priority="5369">
      <formula>K122="探"</formula>
    </cfRule>
    <cfRule type="expression" dxfId="4" priority="5370">
      <formula>K122="年"</formula>
    </cfRule>
    <cfRule type="expression" dxfId="3" priority="5371">
      <formula>K122="事"</formula>
    </cfRule>
    <cfRule type="expression" dxfId="2" priority="5372">
      <formula>K122="病"</formula>
    </cfRule>
  </conditionalFormatting>
  <conditionalFormatting sqref="O122:S122">
    <cfRule type="expression" dxfId="5" priority="3265">
      <formula>O122="探"</formula>
    </cfRule>
    <cfRule type="expression" dxfId="4" priority="3266">
      <formula>O122="年"</formula>
    </cfRule>
    <cfRule type="expression" dxfId="3" priority="3267">
      <formula>O122="事"</formula>
    </cfRule>
    <cfRule type="expression" dxfId="2" priority="3268">
      <formula>O122="病"</formula>
    </cfRule>
  </conditionalFormatting>
  <conditionalFormatting sqref="T122:W122">
    <cfRule type="expression" dxfId="5" priority="3261">
      <formula>T122="探"</formula>
    </cfRule>
    <cfRule type="expression" dxfId="4" priority="3262">
      <formula>T122="年"</formula>
    </cfRule>
    <cfRule type="expression" dxfId="3" priority="3263">
      <formula>T122="事"</formula>
    </cfRule>
    <cfRule type="expression" dxfId="2" priority="3264">
      <formula>T122="病"</formula>
    </cfRule>
  </conditionalFormatting>
  <conditionalFormatting sqref="X122:Y122">
    <cfRule type="expression" dxfId="5" priority="7697">
      <formula>X122="探"</formula>
    </cfRule>
    <cfRule type="expression" dxfId="4" priority="7698">
      <formula>X122="年"</formula>
    </cfRule>
    <cfRule type="expression" dxfId="3" priority="7699">
      <formula>X122="事"</formula>
    </cfRule>
    <cfRule type="expression" dxfId="2" priority="7700">
      <formula>X122="病"</formula>
    </cfRule>
  </conditionalFormatting>
  <conditionalFormatting sqref="Z122:AA122">
    <cfRule type="expression" dxfId="5" priority="7693">
      <formula>Z122="探"</formula>
    </cfRule>
    <cfRule type="expression" dxfId="4" priority="7694">
      <formula>Z122="年"</formula>
    </cfRule>
    <cfRule type="expression" dxfId="3" priority="7695">
      <formula>Z122="事"</formula>
    </cfRule>
    <cfRule type="expression" dxfId="2" priority="7696">
      <formula>Z122="病"</formula>
    </cfRule>
  </conditionalFormatting>
  <conditionalFormatting sqref="AB122:AC122">
    <cfRule type="expression" dxfId="5" priority="7689">
      <formula>AB122="探"</formula>
    </cfRule>
    <cfRule type="expression" dxfId="4" priority="7690">
      <formula>AB122="年"</formula>
    </cfRule>
    <cfRule type="expression" dxfId="3" priority="7691">
      <formula>AB122="事"</formula>
    </cfRule>
    <cfRule type="expression" dxfId="2" priority="7692">
      <formula>AB122="病"</formula>
    </cfRule>
  </conditionalFormatting>
  <conditionalFormatting sqref="AD122">
    <cfRule type="expression" dxfId="5" priority="7685">
      <formula>AD122="探"</formula>
    </cfRule>
    <cfRule type="expression" dxfId="4" priority="7686">
      <formula>AD122="年"</formula>
    </cfRule>
    <cfRule type="expression" dxfId="3" priority="7687">
      <formula>AD122="事"</formula>
    </cfRule>
    <cfRule type="expression" dxfId="2" priority="7688">
      <formula>AD122="病"</formula>
    </cfRule>
  </conditionalFormatting>
  <conditionalFormatting sqref="AE122">
    <cfRule type="expression" dxfId="2" priority="216">
      <formula>AE122="病"</formula>
    </cfRule>
    <cfRule type="expression" dxfId="3" priority="215">
      <formula>AE122="事"</formula>
    </cfRule>
    <cfRule type="expression" dxfId="4" priority="214">
      <formula>AE122="年"</formula>
    </cfRule>
    <cfRule type="expression" dxfId="5" priority="213">
      <formula>AE122="探"</formula>
    </cfRule>
  </conditionalFormatting>
  <conditionalFormatting sqref="AF122:AI122">
    <cfRule type="expression" dxfId="2" priority="212">
      <formula>AF122="病"</formula>
    </cfRule>
    <cfRule type="expression" dxfId="3" priority="211">
      <formula>AF122="事"</formula>
    </cfRule>
    <cfRule type="expression" dxfId="4" priority="210">
      <formula>AF122="年"</formula>
    </cfRule>
    <cfRule type="expression" dxfId="5" priority="209">
      <formula>AF122="探"</formula>
    </cfRule>
  </conditionalFormatting>
  <conditionalFormatting sqref="AJ122:AK122">
    <cfRule type="expression" dxfId="2" priority="220">
      <formula>AJ122="病"</formula>
    </cfRule>
    <cfRule type="expression" dxfId="3" priority="219">
      <formula>AJ122="事"</formula>
    </cfRule>
    <cfRule type="expression" dxfId="4" priority="218">
      <formula>AJ122="年"</formula>
    </cfRule>
    <cfRule type="expression" dxfId="5" priority="217">
      <formula>AJ122="探"</formula>
    </cfRule>
  </conditionalFormatting>
  <conditionalFormatting sqref="I123:J123">
    <cfRule type="expression" dxfId="5" priority="8949">
      <formula>I123="探"</formula>
    </cfRule>
    <cfRule type="expression" dxfId="4" priority="8950">
      <formula>I123="年"</formula>
    </cfRule>
    <cfRule type="expression" dxfId="3" priority="8951">
      <formula>I123="事"</formula>
    </cfRule>
    <cfRule type="expression" dxfId="2" priority="8952">
      <formula>I123="病"</formula>
    </cfRule>
  </conditionalFormatting>
  <conditionalFormatting sqref="M123:N123">
    <cfRule type="expression" dxfId="5" priority="8525">
      <formula>M123="探"</formula>
    </cfRule>
    <cfRule type="expression" dxfId="4" priority="8526">
      <formula>M123="年"</formula>
    </cfRule>
    <cfRule type="expression" dxfId="3" priority="8527">
      <formula>M123="事"</formula>
    </cfRule>
    <cfRule type="expression" dxfId="2" priority="8528">
      <formula>M123="病"</formula>
    </cfRule>
  </conditionalFormatting>
  <conditionalFormatting sqref="O123:P123">
    <cfRule type="expression" dxfId="5" priority="8521">
      <formula>O123="探"</formula>
    </cfRule>
    <cfRule type="expression" dxfId="4" priority="8522">
      <formula>O123="年"</formula>
    </cfRule>
    <cfRule type="expression" dxfId="3" priority="8523">
      <formula>O123="事"</formula>
    </cfRule>
    <cfRule type="expression" dxfId="2" priority="8524">
      <formula>O123="病"</formula>
    </cfRule>
  </conditionalFormatting>
  <conditionalFormatting sqref="Q123:R123">
    <cfRule type="expression" dxfId="5" priority="8517">
      <formula>Q123="探"</formula>
    </cfRule>
    <cfRule type="expression" dxfId="4" priority="8518">
      <formula>Q123="年"</formula>
    </cfRule>
    <cfRule type="expression" dxfId="3" priority="8519">
      <formula>Q123="事"</formula>
    </cfRule>
    <cfRule type="expression" dxfId="2" priority="8520">
      <formula>Q123="病"</formula>
    </cfRule>
  </conditionalFormatting>
  <conditionalFormatting sqref="S123:X123">
    <cfRule type="expression" dxfId="5" priority="8513">
      <formula>S123="探"</formula>
    </cfRule>
    <cfRule type="expression" dxfId="4" priority="8514">
      <formula>S123="年"</formula>
    </cfRule>
    <cfRule type="expression" dxfId="3" priority="8515">
      <formula>S123="事"</formula>
    </cfRule>
    <cfRule type="expression" dxfId="2" priority="8516">
      <formula>S123="病"</formula>
    </cfRule>
  </conditionalFormatting>
  <conditionalFormatting sqref="Y123:Z123">
    <cfRule type="expression" dxfId="5" priority="7713">
      <formula>Y123="探"</formula>
    </cfRule>
    <cfRule type="expression" dxfId="4" priority="7714">
      <formula>Y123="年"</formula>
    </cfRule>
    <cfRule type="expression" dxfId="3" priority="7715">
      <formula>Y123="事"</formula>
    </cfRule>
    <cfRule type="expression" dxfId="2" priority="7716">
      <formula>Y123="病"</formula>
    </cfRule>
  </conditionalFormatting>
  <conditionalFormatting sqref="AA123:AB123">
    <cfRule type="expression" dxfId="5" priority="7709">
      <formula>AA123="探"</formula>
    </cfRule>
    <cfRule type="expression" dxfId="4" priority="7710">
      <formula>AA123="年"</formula>
    </cfRule>
    <cfRule type="expression" dxfId="3" priority="7711">
      <formula>AA123="事"</formula>
    </cfRule>
    <cfRule type="expression" dxfId="2" priority="7712">
      <formula>AA123="病"</formula>
    </cfRule>
  </conditionalFormatting>
  <conditionalFormatting sqref="AC123:AD123">
    <cfRule type="expression" dxfId="5" priority="7705">
      <formula>AC123="探"</formula>
    </cfRule>
    <cfRule type="expression" dxfId="4" priority="7706">
      <formula>AC123="年"</formula>
    </cfRule>
    <cfRule type="expression" dxfId="3" priority="7707">
      <formula>AC123="事"</formula>
    </cfRule>
    <cfRule type="expression" dxfId="2" priority="7708">
      <formula>AC123="病"</formula>
    </cfRule>
  </conditionalFormatting>
  <conditionalFormatting sqref="AE123:AF123">
    <cfRule type="expression" dxfId="2" priority="208">
      <formula>AE123="病"</formula>
    </cfRule>
    <cfRule type="expression" dxfId="3" priority="207">
      <formula>AE123="事"</formula>
    </cfRule>
    <cfRule type="expression" dxfId="4" priority="206">
      <formula>AE123="年"</formula>
    </cfRule>
    <cfRule type="expression" dxfId="5" priority="205">
      <formula>AE123="探"</formula>
    </cfRule>
  </conditionalFormatting>
  <conditionalFormatting sqref="AG123:AH123">
    <cfRule type="expression" dxfId="2" priority="204">
      <formula>AG123="病"</formula>
    </cfRule>
    <cfRule type="expression" dxfId="3" priority="203">
      <formula>AG123="事"</formula>
    </cfRule>
    <cfRule type="expression" dxfId="4" priority="202">
      <formula>AG123="年"</formula>
    </cfRule>
    <cfRule type="expression" dxfId="5" priority="201">
      <formula>AG123="探"</formula>
    </cfRule>
  </conditionalFormatting>
  <conditionalFormatting sqref="AI123:AJ123">
    <cfRule type="expression" dxfId="2" priority="200">
      <formula>AI123="病"</formula>
    </cfRule>
    <cfRule type="expression" dxfId="3" priority="199">
      <formula>AI123="事"</formula>
    </cfRule>
    <cfRule type="expression" dxfId="4" priority="198">
      <formula>AI123="年"</formula>
    </cfRule>
    <cfRule type="expression" dxfId="5" priority="197">
      <formula>AI123="探"</formula>
    </cfRule>
  </conditionalFormatting>
  <conditionalFormatting sqref="AK123">
    <cfRule type="expression" dxfId="5" priority="6517">
      <formula>AK123="探"</formula>
    </cfRule>
    <cfRule type="expression" dxfId="4" priority="6518">
      <formula>AK123="年"</formula>
    </cfRule>
    <cfRule type="expression" dxfId="3" priority="6519">
      <formula>AK123="事"</formula>
    </cfRule>
    <cfRule type="expression" dxfId="2" priority="6520">
      <formula>AK123="病"</formula>
    </cfRule>
  </conditionalFormatting>
  <conditionalFormatting sqref="H124:I124">
    <cfRule type="expression" dxfId="5" priority="8941">
      <formula>H124="探"</formula>
    </cfRule>
    <cfRule type="expression" dxfId="4" priority="8942">
      <formula>H124="年"</formula>
    </cfRule>
    <cfRule type="expression" dxfId="3" priority="8943">
      <formula>H124="事"</formula>
    </cfRule>
    <cfRule type="expression" dxfId="2" priority="8944">
      <formula>H124="病"</formula>
    </cfRule>
  </conditionalFormatting>
  <conditionalFormatting sqref="L124:M124">
    <cfRule type="expression" dxfId="5" priority="5361">
      <formula>L124="探"</formula>
    </cfRule>
    <cfRule type="expression" dxfId="4" priority="5362">
      <formula>L124="年"</formula>
    </cfRule>
    <cfRule type="expression" dxfId="3" priority="5363">
      <formula>L124="事"</formula>
    </cfRule>
    <cfRule type="expression" dxfId="2" priority="5364">
      <formula>L124="病"</formula>
    </cfRule>
  </conditionalFormatting>
  <conditionalFormatting sqref="N124">
    <cfRule type="expression" dxfId="5" priority="5365">
      <formula>N124="探"</formula>
    </cfRule>
    <cfRule type="expression" dxfId="4" priority="5366">
      <formula>N124="年"</formula>
    </cfRule>
    <cfRule type="expression" dxfId="3" priority="5367">
      <formula>N124="事"</formula>
    </cfRule>
    <cfRule type="expression" dxfId="2" priority="5368">
      <formula>N124="病"</formula>
    </cfRule>
  </conditionalFormatting>
  <conditionalFormatting sqref="O124:P124">
    <cfRule type="expression" dxfId="5" priority="3257">
      <formula>O124="探"</formula>
    </cfRule>
    <cfRule type="expression" dxfId="4" priority="3258">
      <formula>O124="年"</formula>
    </cfRule>
    <cfRule type="expression" dxfId="3" priority="3259">
      <formula>O124="事"</formula>
    </cfRule>
    <cfRule type="expression" dxfId="2" priority="3260">
      <formula>O124="病"</formula>
    </cfRule>
  </conditionalFormatting>
  <conditionalFormatting sqref="Q124:U124">
    <cfRule type="expression" dxfId="5" priority="3253">
      <formula>Q124="探"</formula>
    </cfRule>
    <cfRule type="expression" dxfId="4" priority="3254">
      <formula>Q124="年"</formula>
    </cfRule>
    <cfRule type="expression" dxfId="3" priority="3255">
      <formula>Q124="事"</formula>
    </cfRule>
    <cfRule type="expression" dxfId="2" priority="3256">
      <formula>Q124="病"</formula>
    </cfRule>
  </conditionalFormatting>
  <conditionalFormatting sqref="V124">
    <cfRule type="expression" dxfId="5" priority="3249">
      <formula>V124="探"</formula>
    </cfRule>
    <cfRule type="expression" dxfId="4" priority="3250">
      <formula>V124="年"</formula>
    </cfRule>
    <cfRule type="expression" dxfId="3" priority="3251">
      <formula>V124="事"</formula>
    </cfRule>
    <cfRule type="expression" dxfId="2" priority="3252">
      <formula>V124="病"</formula>
    </cfRule>
  </conditionalFormatting>
  <conditionalFormatting sqref="W124:X124">
    <cfRule type="expression" dxfId="5" priority="3245">
      <formula>W124="探"</formula>
    </cfRule>
    <cfRule type="expression" dxfId="4" priority="3246">
      <formula>W124="年"</formula>
    </cfRule>
    <cfRule type="expression" dxfId="3" priority="3247">
      <formula>W124="事"</formula>
    </cfRule>
    <cfRule type="expression" dxfId="2" priority="3248">
      <formula>W124="病"</formula>
    </cfRule>
  </conditionalFormatting>
  <conditionalFormatting sqref="Y124">
    <cfRule type="expression" dxfId="5" priority="7737">
      <formula>Y124="探"</formula>
    </cfRule>
    <cfRule type="expression" dxfId="4" priority="7738">
      <formula>Y124="年"</formula>
    </cfRule>
    <cfRule type="expression" dxfId="3" priority="7739">
      <formula>Y124="事"</formula>
    </cfRule>
    <cfRule type="expression" dxfId="2" priority="7740">
      <formula>Y124="病"</formula>
    </cfRule>
  </conditionalFormatting>
  <conditionalFormatting sqref="Z124:AA124">
    <cfRule type="expression" dxfId="5" priority="7733">
      <formula>Z124="探"</formula>
    </cfRule>
    <cfRule type="expression" dxfId="4" priority="7734">
      <formula>Z124="年"</formula>
    </cfRule>
    <cfRule type="expression" dxfId="3" priority="7735">
      <formula>Z124="事"</formula>
    </cfRule>
    <cfRule type="expression" dxfId="2" priority="7736">
      <formula>Z124="病"</formula>
    </cfRule>
  </conditionalFormatting>
  <conditionalFormatting sqref="AB124">
    <cfRule type="expression" dxfId="5" priority="7729">
      <formula>AB124="探"</formula>
    </cfRule>
    <cfRule type="expression" dxfId="4" priority="7730">
      <formula>AB124="年"</formula>
    </cfRule>
    <cfRule type="expression" dxfId="3" priority="7731">
      <formula>AB124="事"</formula>
    </cfRule>
    <cfRule type="expression" dxfId="2" priority="7732">
      <formula>AB124="病"</formula>
    </cfRule>
  </conditionalFormatting>
  <conditionalFormatting sqref="AC124">
    <cfRule type="expression" dxfId="5" priority="7725">
      <formula>AC124="探"</formula>
    </cfRule>
    <cfRule type="expression" dxfId="4" priority="7726">
      <formula>AC124="年"</formula>
    </cfRule>
    <cfRule type="expression" dxfId="3" priority="7727">
      <formula>AC124="事"</formula>
    </cfRule>
    <cfRule type="expression" dxfId="2" priority="7728">
      <formula>AC124="病"</formula>
    </cfRule>
  </conditionalFormatting>
  <conditionalFormatting sqref="AD124">
    <cfRule type="expression" dxfId="5" priority="7721">
      <formula>AD124="探"</formula>
    </cfRule>
    <cfRule type="expression" dxfId="4" priority="7722">
      <formula>AD124="年"</formula>
    </cfRule>
    <cfRule type="expression" dxfId="3" priority="7723">
      <formula>AD124="事"</formula>
    </cfRule>
    <cfRule type="expression" dxfId="2" priority="7724">
      <formula>AD124="病"</formula>
    </cfRule>
  </conditionalFormatting>
  <conditionalFormatting sqref="AE124:AF124">
    <cfRule type="expression" dxfId="2" priority="180">
      <formula>AE124="病"</formula>
    </cfRule>
    <cfRule type="expression" dxfId="3" priority="179">
      <formula>AE124="事"</formula>
    </cfRule>
    <cfRule type="expression" dxfId="4" priority="178">
      <formula>AE124="年"</formula>
    </cfRule>
    <cfRule type="expression" dxfId="5" priority="177">
      <formula>AE124="探"</formula>
    </cfRule>
  </conditionalFormatting>
  <conditionalFormatting sqref="AG124">
    <cfRule type="expression" dxfId="2" priority="196">
      <formula>AG124="病"</formula>
    </cfRule>
    <cfRule type="expression" dxfId="3" priority="195">
      <formula>AG124="事"</formula>
    </cfRule>
    <cfRule type="expression" dxfId="4" priority="194">
      <formula>AG124="年"</formula>
    </cfRule>
    <cfRule type="expression" dxfId="5" priority="193">
      <formula>AG124="探"</formula>
    </cfRule>
  </conditionalFormatting>
  <conditionalFormatting sqref="AH124:AI124">
    <cfRule type="expression" dxfId="2" priority="192">
      <formula>AH124="病"</formula>
    </cfRule>
    <cfRule type="expression" dxfId="3" priority="191">
      <formula>AH124="事"</formula>
    </cfRule>
    <cfRule type="expression" dxfId="4" priority="190">
      <formula>AH124="年"</formula>
    </cfRule>
    <cfRule type="expression" dxfId="5" priority="189">
      <formula>AH124="探"</formula>
    </cfRule>
  </conditionalFormatting>
  <conditionalFormatting sqref="AJ124">
    <cfRule type="expression" dxfId="2" priority="188">
      <formula>AJ124="病"</formula>
    </cfRule>
    <cfRule type="expression" dxfId="3" priority="187">
      <formula>AJ124="事"</formula>
    </cfRule>
    <cfRule type="expression" dxfId="4" priority="186">
      <formula>AJ124="年"</formula>
    </cfRule>
    <cfRule type="expression" dxfId="5" priority="185">
      <formula>AJ124="探"</formula>
    </cfRule>
  </conditionalFormatting>
  <conditionalFormatting sqref="AK124">
    <cfRule type="expression" dxfId="2" priority="184">
      <formula>AK124="病"</formula>
    </cfRule>
    <cfRule type="expression" dxfId="3" priority="183">
      <formula>AK124="事"</formula>
    </cfRule>
    <cfRule type="expression" dxfId="4" priority="182">
      <formula>AK124="年"</formula>
    </cfRule>
    <cfRule type="expression" dxfId="5" priority="181">
      <formula>AK124="探"</formula>
    </cfRule>
  </conditionalFormatting>
  <conditionalFormatting sqref="G125:J125">
    <cfRule type="expression" dxfId="5" priority="8933">
      <formula>G125="探"</formula>
    </cfRule>
    <cfRule type="expression" dxfId="4" priority="8934">
      <formula>G125="年"</formula>
    </cfRule>
    <cfRule type="expression" dxfId="3" priority="8935">
      <formula>G125="事"</formula>
    </cfRule>
    <cfRule type="expression" dxfId="2" priority="8936">
      <formula>G125="病"</formula>
    </cfRule>
  </conditionalFormatting>
  <conditionalFormatting sqref="K125:N125">
    <cfRule type="expression" dxfId="5" priority="5357">
      <formula>K125="探"</formula>
    </cfRule>
    <cfRule type="expression" dxfId="4" priority="5358">
      <formula>K125="年"</formula>
    </cfRule>
    <cfRule type="expression" dxfId="3" priority="5359">
      <formula>K125="事"</formula>
    </cfRule>
    <cfRule type="expression" dxfId="2" priority="5360">
      <formula>K125="病"</formula>
    </cfRule>
  </conditionalFormatting>
  <conditionalFormatting sqref="O125:S125">
    <cfRule type="expression" dxfId="5" priority="3241">
      <formula>O125="探"</formula>
    </cfRule>
    <cfRule type="expression" dxfId="4" priority="3242">
      <formula>O125="年"</formula>
    </cfRule>
    <cfRule type="expression" dxfId="3" priority="3243">
      <formula>O125="事"</formula>
    </cfRule>
    <cfRule type="expression" dxfId="2" priority="3244">
      <formula>O125="病"</formula>
    </cfRule>
  </conditionalFormatting>
  <conditionalFormatting sqref="T125:W125">
    <cfRule type="expression" dxfId="5" priority="3237">
      <formula>T125="探"</formula>
    </cfRule>
    <cfRule type="expression" dxfId="4" priority="3238">
      <formula>T125="年"</formula>
    </cfRule>
    <cfRule type="expression" dxfId="3" priority="3239">
      <formula>T125="事"</formula>
    </cfRule>
    <cfRule type="expression" dxfId="2" priority="3240">
      <formula>T125="病"</formula>
    </cfRule>
  </conditionalFormatting>
  <conditionalFormatting sqref="X125:Y125">
    <cfRule type="expression" dxfId="5" priority="7765">
      <formula>X125="探"</formula>
    </cfRule>
    <cfRule type="expression" dxfId="4" priority="7766">
      <formula>X125="年"</formula>
    </cfRule>
    <cfRule type="expression" dxfId="3" priority="7767">
      <formula>X125="事"</formula>
    </cfRule>
    <cfRule type="expression" dxfId="2" priority="7768">
      <formula>X125="病"</formula>
    </cfRule>
  </conditionalFormatting>
  <conditionalFormatting sqref="Z125">
    <cfRule type="expression" dxfId="5" priority="7761">
      <formula>Z125="探"</formula>
    </cfRule>
    <cfRule type="expression" dxfId="4" priority="7762">
      <formula>Z125="年"</formula>
    </cfRule>
    <cfRule type="expression" dxfId="3" priority="7763">
      <formula>Z125="事"</formula>
    </cfRule>
    <cfRule type="expression" dxfId="2" priority="7764">
      <formula>Z125="病"</formula>
    </cfRule>
  </conditionalFormatting>
  <conditionalFormatting sqref="AA125">
    <cfRule type="expression" dxfId="5" priority="7757">
      <formula>AA125="探"</formula>
    </cfRule>
    <cfRule type="expression" dxfId="4" priority="7758">
      <formula>AA125="年"</formula>
    </cfRule>
    <cfRule type="expression" dxfId="3" priority="7759">
      <formula>AA125="事"</formula>
    </cfRule>
    <cfRule type="expression" dxfId="2" priority="7760">
      <formula>AA125="病"</formula>
    </cfRule>
  </conditionalFormatting>
  <conditionalFormatting sqref="AB125:AC125">
    <cfRule type="expression" dxfId="5" priority="7753">
      <formula>AB125="探"</formula>
    </cfRule>
    <cfRule type="expression" dxfId="4" priority="7754">
      <formula>AB125="年"</formula>
    </cfRule>
    <cfRule type="expression" dxfId="3" priority="7755">
      <formula>AB125="事"</formula>
    </cfRule>
    <cfRule type="expression" dxfId="2" priority="7756">
      <formula>AB125="病"</formula>
    </cfRule>
  </conditionalFormatting>
  <conditionalFormatting sqref="AD125">
    <cfRule type="expression" dxfId="5" priority="7749">
      <formula>AD125="探"</formula>
    </cfRule>
    <cfRule type="expression" dxfId="4" priority="7750">
      <formula>AD125="年"</formula>
    </cfRule>
    <cfRule type="expression" dxfId="3" priority="7751">
      <formula>AD125="事"</formula>
    </cfRule>
    <cfRule type="expression" dxfId="2" priority="7752">
      <formula>AD125="病"</formula>
    </cfRule>
  </conditionalFormatting>
  <conditionalFormatting sqref="AE125">
    <cfRule type="expression" dxfId="2" priority="160">
      <formula>AE125="病"</formula>
    </cfRule>
    <cfRule type="expression" dxfId="3" priority="159">
      <formula>AE125="事"</formula>
    </cfRule>
    <cfRule type="expression" dxfId="4" priority="158">
      <formula>AE125="年"</formula>
    </cfRule>
    <cfRule type="expression" dxfId="5" priority="157">
      <formula>AE125="探"</formula>
    </cfRule>
  </conditionalFormatting>
  <conditionalFormatting sqref="AF125:AG125">
    <cfRule type="expression" dxfId="2" priority="176">
      <formula>AF125="病"</formula>
    </cfRule>
    <cfRule type="expression" dxfId="3" priority="175">
      <formula>AF125="事"</formula>
    </cfRule>
    <cfRule type="expression" dxfId="4" priority="174">
      <formula>AF125="年"</formula>
    </cfRule>
    <cfRule type="expression" dxfId="5" priority="173">
      <formula>AF125="探"</formula>
    </cfRule>
  </conditionalFormatting>
  <conditionalFormatting sqref="AH125">
    <cfRule type="expression" dxfId="2" priority="172">
      <formula>AH125="病"</formula>
    </cfRule>
    <cfRule type="expression" dxfId="3" priority="171">
      <formula>AH125="事"</formula>
    </cfRule>
    <cfRule type="expression" dxfId="4" priority="170">
      <formula>AH125="年"</formula>
    </cfRule>
    <cfRule type="expression" dxfId="5" priority="169">
      <formula>AH125="探"</formula>
    </cfRule>
  </conditionalFormatting>
  <conditionalFormatting sqref="AI125">
    <cfRule type="expression" dxfId="2" priority="168">
      <formula>AI125="病"</formula>
    </cfRule>
    <cfRule type="expression" dxfId="3" priority="167">
      <formula>AI125="事"</formula>
    </cfRule>
    <cfRule type="expression" dxfId="4" priority="166">
      <formula>AI125="年"</formula>
    </cfRule>
    <cfRule type="expression" dxfId="5" priority="165">
      <formula>AI125="探"</formula>
    </cfRule>
  </conditionalFormatting>
  <conditionalFormatting sqref="AJ125">
    <cfRule type="expression" dxfId="2" priority="164">
      <formula>AJ125="病"</formula>
    </cfRule>
    <cfRule type="expression" dxfId="3" priority="163">
      <formula>AJ125="事"</formula>
    </cfRule>
    <cfRule type="expression" dxfId="4" priority="162">
      <formula>AJ125="年"</formula>
    </cfRule>
    <cfRule type="expression" dxfId="5" priority="161">
      <formula>AJ125="探"</formula>
    </cfRule>
  </conditionalFormatting>
  <conditionalFormatting sqref="AK125">
    <cfRule type="expression" dxfId="5" priority="6485">
      <formula>AK125="探"</formula>
    </cfRule>
    <cfRule type="expression" dxfId="4" priority="6486">
      <formula>AK125="年"</formula>
    </cfRule>
    <cfRule type="expression" dxfId="3" priority="6487">
      <formula>AK125="事"</formula>
    </cfRule>
    <cfRule type="expression" dxfId="2" priority="6488">
      <formula>AK125="病"</formula>
    </cfRule>
  </conditionalFormatting>
  <conditionalFormatting sqref="Y126">
    <cfRule type="expression" dxfId="5" priority="7789">
      <formula>Y126="探"</formula>
    </cfRule>
    <cfRule type="expression" dxfId="4" priority="7790">
      <formula>Y126="年"</formula>
    </cfRule>
    <cfRule type="expression" dxfId="3" priority="7791">
      <formula>Y126="事"</formula>
    </cfRule>
    <cfRule type="expression" dxfId="2" priority="7792">
      <formula>Y126="病"</formula>
    </cfRule>
  </conditionalFormatting>
  <conditionalFormatting sqref="Z126">
    <cfRule type="expression" dxfId="5" priority="7785">
      <formula>Z126="探"</formula>
    </cfRule>
    <cfRule type="expression" dxfId="4" priority="7786">
      <formula>Z126="年"</formula>
    </cfRule>
    <cfRule type="expression" dxfId="3" priority="7787">
      <formula>Z126="事"</formula>
    </cfRule>
    <cfRule type="expression" dxfId="2" priority="7788">
      <formula>Z126="病"</formula>
    </cfRule>
  </conditionalFormatting>
  <conditionalFormatting sqref="AA126:AB126">
    <cfRule type="expression" dxfId="5" priority="7781">
      <formula>AA126="探"</formula>
    </cfRule>
    <cfRule type="expression" dxfId="4" priority="7782">
      <formula>AA126="年"</formula>
    </cfRule>
    <cfRule type="expression" dxfId="3" priority="7783">
      <formula>AA126="事"</formula>
    </cfRule>
    <cfRule type="expression" dxfId="2" priority="7784">
      <formula>AA126="病"</formula>
    </cfRule>
  </conditionalFormatting>
  <conditionalFormatting sqref="AC126">
    <cfRule type="expression" dxfId="5" priority="7777">
      <formula>AC126="探"</formula>
    </cfRule>
    <cfRule type="expression" dxfId="4" priority="7778">
      <formula>AC126="年"</formula>
    </cfRule>
    <cfRule type="expression" dxfId="3" priority="7779">
      <formula>AC126="事"</formula>
    </cfRule>
    <cfRule type="expression" dxfId="2" priority="7780">
      <formula>AC126="病"</formula>
    </cfRule>
  </conditionalFormatting>
  <conditionalFormatting sqref="AD126:AE126">
    <cfRule type="expression" dxfId="5" priority="7773">
      <formula>AD126="探"</formula>
    </cfRule>
    <cfRule type="expression" dxfId="4" priority="7774">
      <formula>AD126="年"</formula>
    </cfRule>
    <cfRule type="expression" dxfId="3" priority="7775">
      <formula>AD126="事"</formula>
    </cfRule>
    <cfRule type="expression" dxfId="2" priority="7776">
      <formula>AD126="病"</formula>
    </cfRule>
  </conditionalFormatting>
  <conditionalFormatting sqref="AF126">
    <cfRule type="expression" dxfId="5" priority="7769">
      <formula>AF126="探"</formula>
    </cfRule>
    <cfRule type="expression" dxfId="4" priority="7770">
      <formula>AF126="年"</formula>
    </cfRule>
    <cfRule type="expression" dxfId="3" priority="7771">
      <formula>AF126="事"</formula>
    </cfRule>
    <cfRule type="expression" dxfId="2" priority="7772">
      <formula>AF126="病"</formula>
    </cfRule>
  </conditionalFormatting>
  <conditionalFormatting sqref="AG126">
    <cfRule type="expression" dxfId="5" priority="6481">
      <formula>AG126="探"</formula>
    </cfRule>
    <cfRule type="expression" dxfId="4" priority="6482">
      <formula>AG126="年"</formula>
    </cfRule>
    <cfRule type="expression" dxfId="3" priority="6483">
      <formula>AG126="事"</formula>
    </cfRule>
    <cfRule type="expression" dxfId="2" priority="6484">
      <formula>AG126="病"</formula>
    </cfRule>
  </conditionalFormatting>
  <conditionalFormatting sqref="AH126:AK126">
    <cfRule type="expression" dxfId="5" priority="6477">
      <formula>AH126="探"</formula>
    </cfRule>
    <cfRule type="expression" dxfId="4" priority="6478">
      <formula>AH126="年"</formula>
    </cfRule>
    <cfRule type="expression" dxfId="3" priority="6479">
      <formula>AH126="事"</formula>
    </cfRule>
    <cfRule type="expression" dxfId="2" priority="6480">
      <formula>AH126="病"</formula>
    </cfRule>
  </conditionalFormatting>
  <conditionalFormatting sqref="Y127:AD127">
    <cfRule type="expression" dxfId="2" priority="1448">
      <formula>Y127="病"</formula>
    </cfRule>
    <cfRule type="expression" dxfId="3" priority="1447">
      <formula>Y127="事"</formula>
    </cfRule>
    <cfRule type="expression" dxfId="4" priority="1446">
      <formula>Y127="年"</formula>
    </cfRule>
    <cfRule type="expression" dxfId="5" priority="1445">
      <formula>Y127="探"</formula>
    </cfRule>
  </conditionalFormatting>
  <conditionalFormatting sqref="AE127:AH127">
    <cfRule type="expression" dxfId="2" priority="156">
      <formula>AE127="病"</formula>
    </cfRule>
    <cfRule type="expression" dxfId="3" priority="155">
      <formula>AE127="事"</formula>
    </cfRule>
    <cfRule type="expression" dxfId="4" priority="154">
      <formula>AE127="年"</formula>
    </cfRule>
    <cfRule type="expression" dxfId="5" priority="153">
      <formula>AE127="探"</formula>
    </cfRule>
  </conditionalFormatting>
  <conditionalFormatting sqref="AI127:AJ127">
    <cfRule type="expression" dxfId="2" priority="152">
      <formula>AI127="病"</formula>
    </cfRule>
    <cfRule type="expression" dxfId="3" priority="151">
      <formula>AI127="事"</formula>
    </cfRule>
    <cfRule type="expression" dxfId="4" priority="150">
      <formula>AI127="年"</formula>
    </cfRule>
    <cfRule type="expression" dxfId="5" priority="149">
      <formula>AI127="探"</formula>
    </cfRule>
  </conditionalFormatting>
  <conditionalFormatting sqref="AK127">
    <cfRule type="expression" dxfId="5" priority="6469">
      <formula>AK127="探"</formula>
    </cfRule>
    <cfRule type="expression" dxfId="4" priority="6470">
      <formula>AK127="年"</formula>
    </cfRule>
    <cfRule type="expression" dxfId="3" priority="6471">
      <formula>AK127="事"</formula>
    </cfRule>
    <cfRule type="expression" dxfId="2" priority="6472">
      <formula>AK127="病"</formula>
    </cfRule>
  </conditionalFormatting>
  <conditionalFormatting sqref="G128:H128">
    <cfRule type="expression" dxfId="5" priority="8925">
      <formula>G128="探"</formula>
    </cfRule>
    <cfRule type="expression" dxfId="4" priority="8926">
      <formula>G128="年"</formula>
    </cfRule>
    <cfRule type="expression" dxfId="3" priority="8927">
      <formula>G128="事"</formula>
    </cfRule>
    <cfRule type="expression" dxfId="2" priority="8928">
      <formula>G128="病"</formula>
    </cfRule>
  </conditionalFormatting>
  <conditionalFormatting sqref="I128:J128">
    <cfRule type="expression" dxfId="5" priority="8929">
      <formula>I128="探"</formula>
    </cfRule>
    <cfRule type="expression" dxfId="4" priority="8930">
      <formula>I128="年"</formula>
    </cfRule>
    <cfRule type="expression" dxfId="3" priority="8931">
      <formula>I128="事"</formula>
    </cfRule>
    <cfRule type="expression" dxfId="2" priority="8932">
      <formula>I128="病"</formula>
    </cfRule>
  </conditionalFormatting>
  <conditionalFormatting sqref="K128:N128">
    <cfRule type="expression" dxfId="5" priority="5349">
      <formula>K128="探"</formula>
    </cfRule>
    <cfRule type="expression" dxfId="4" priority="5350">
      <formula>K128="年"</formula>
    </cfRule>
    <cfRule type="expression" dxfId="3" priority="5351">
      <formula>K128="事"</formula>
    </cfRule>
    <cfRule type="expression" dxfId="2" priority="5352">
      <formula>K128="病"</formula>
    </cfRule>
  </conditionalFormatting>
  <conditionalFormatting sqref="O128:P128">
    <cfRule type="expression" dxfId="5" priority="3217">
      <formula>O128="探"</formula>
    </cfRule>
    <cfRule type="expression" dxfId="4" priority="3218">
      <formula>O128="年"</formula>
    </cfRule>
    <cfRule type="expression" dxfId="3" priority="3219">
      <formula>O128="事"</formula>
    </cfRule>
    <cfRule type="expression" dxfId="2" priority="3220">
      <formula>O128="病"</formula>
    </cfRule>
  </conditionalFormatting>
  <conditionalFormatting sqref="Q128">
    <cfRule type="expression" dxfId="5" priority="3213">
      <formula>Q128="探"</formula>
    </cfRule>
    <cfRule type="expression" dxfId="4" priority="3214">
      <formula>Q128="年"</formula>
    </cfRule>
    <cfRule type="expression" dxfId="3" priority="3215">
      <formula>Q128="事"</formula>
    </cfRule>
    <cfRule type="expression" dxfId="2" priority="3216">
      <formula>Q128="病"</formula>
    </cfRule>
  </conditionalFormatting>
  <conditionalFormatting sqref="R128">
    <cfRule type="expression" dxfId="5" priority="3209">
      <formula>R128="探"</formula>
    </cfRule>
    <cfRule type="expression" dxfId="4" priority="3210">
      <formula>R128="年"</formula>
    </cfRule>
    <cfRule type="expression" dxfId="3" priority="3211">
      <formula>R128="事"</formula>
    </cfRule>
    <cfRule type="expression" dxfId="2" priority="3212">
      <formula>R128="病"</formula>
    </cfRule>
  </conditionalFormatting>
  <conditionalFormatting sqref="S128:X128">
    <cfRule type="expression" dxfId="5" priority="3205">
      <formula>S128="探"</formula>
    </cfRule>
    <cfRule type="expression" dxfId="4" priority="3206">
      <formula>S128="年"</formula>
    </cfRule>
    <cfRule type="expression" dxfId="3" priority="3207">
      <formula>S128="事"</formula>
    </cfRule>
    <cfRule type="expression" dxfId="2" priority="3208">
      <formula>S128="病"</formula>
    </cfRule>
  </conditionalFormatting>
  <conditionalFormatting sqref="Y128">
    <cfRule type="expression" dxfId="2" priority="1444">
      <formula>Y128="病"</formula>
    </cfRule>
    <cfRule type="expression" dxfId="3" priority="1443">
      <formula>Y128="事"</formula>
    </cfRule>
    <cfRule type="expression" dxfId="4" priority="1442">
      <formula>Y128="年"</formula>
    </cfRule>
    <cfRule type="expression" dxfId="5" priority="1441">
      <formula>Y128="探"</formula>
    </cfRule>
  </conditionalFormatting>
  <conditionalFormatting sqref="Z128:AE128">
    <cfRule type="expression" dxfId="2" priority="1440">
      <formula>Z128="病"</formula>
    </cfRule>
    <cfRule type="expression" dxfId="3" priority="1439">
      <formula>Z128="事"</formula>
    </cfRule>
    <cfRule type="expression" dxfId="4" priority="1438">
      <formula>Z128="年"</formula>
    </cfRule>
    <cfRule type="expression" dxfId="5" priority="1437">
      <formula>Z128="探"</formula>
    </cfRule>
  </conditionalFormatting>
  <conditionalFormatting sqref="K129">
    <cfRule type="expression" dxfId="5" priority="5345">
      <formula>K129="探"</formula>
    </cfRule>
    <cfRule type="expression" dxfId="4" priority="5346">
      <formula>K129="年"</formula>
    </cfRule>
    <cfRule type="expression" dxfId="3" priority="5347">
      <formula>K129="事"</formula>
    </cfRule>
    <cfRule type="expression" dxfId="2" priority="5348">
      <formula>K129="病"</formula>
    </cfRule>
  </conditionalFormatting>
  <conditionalFormatting sqref="L129:M129">
    <cfRule type="expression" dxfId="5" priority="5337">
      <formula>L129="探"</formula>
    </cfRule>
    <cfRule type="expression" dxfId="4" priority="5338">
      <formula>L129="年"</formula>
    </cfRule>
    <cfRule type="expression" dxfId="3" priority="5339">
      <formula>L129="事"</formula>
    </cfRule>
    <cfRule type="expression" dxfId="2" priority="5340">
      <formula>L129="病"</formula>
    </cfRule>
  </conditionalFormatting>
  <conditionalFormatting sqref="N129">
    <cfRule type="expression" dxfId="5" priority="5341">
      <formula>N129="探"</formula>
    </cfRule>
    <cfRule type="expression" dxfId="4" priority="5342">
      <formula>N129="年"</formula>
    </cfRule>
    <cfRule type="expression" dxfId="3" priority="5343">
      <formula>N129="事"</formula>
    </cfRule>
    <cfRule type="expression" dxfId="2" priority="5344">
      <formula>N129="病"</formula>
    </cfRule>
  </conditionalFormatting>
  <conditionalFormatting sqref="O129:Q129">
    <cfRule type="expression" dxfId="5" priority="3197">
      <formula>O129="探"</formula>
    </cfRule>
    <cfRule type="expression" dxfId="4" priority="3198">
      <formula>O129="年"</formula>
    </cfRule>
    <cfRule type="expression" dxfId="3" priority="3199">
      <formula>O129="事"</formula>
    </cfRule>
    <cfRule type="expression" dxfId="2" priority="3200">
      <formula>O129="病"</formula>
    </cfRule>
  </conditionalFormatting>
  <conditionalFormatting sqref="R129">
    <cfRule type="expression" dxfId="5" priority="3193">
      <formula>R129="探"</formula>
    </cfRule>
    <cfRule type="expression" dxfId="4" priority="3194">
      <formula>R129="年"</formula>
    </cfRule>
    <cfRule type="expression" dxfId="3" priority="3195">
      <formula>R129="事"</formula>
    </cfRule>
    <cfRule type="expression" dxfId="2" priority="3196">
      <formula>R129="病"</formula>
    </cfRule>
  </conditionalFormatting>
  <conditionalFormatting sqref="S129">
    <cfRule type="expression" dxfId="5" priority="3189">
      <formula>S129="探"</formula>
    </cfRule>
    <cfRule type="expression" dxfId="4" priority="3190">
      <formula>S129="年"</formula>
    </cfRule>
    <cfRule type="expression" dxfId="3" priority="3191">
      <formula>S129="事"</formula>
    </cfRule>
    <cfRule type="expression" dxfId="2" priority="3192">
      <formula>S129="病"</formula>
    </cfRule>
  </conditionalFormatting>
  <conditionalFormatting sqref="T129:Y129">
    <cfRule type="expression" dxfId="5" priority="3185">
      <formula>T129="探"</formula>
    </cfRule>
    <cfRule type="expression" dxfId="4" priority="3186">
      <formula>T129="年"</formula>
    </cfRule>
    <cfRule type="expression" dxfId="3" priority="3187">
      <formula>T129="事"</formula>
    </cfRule>
    <cfRule type="expression" dxfId="2" priority="3188">
      <formula>T129="病"</formula>
    </cfRule>
  </conditionalFormatting>
  <conditionalFormatting sqref="Z129">
    <cfRule type="expression" dxfId="5" priority="3181">
      <formula>Z129="探"</formula>
    </cfRule>
    <cfRule type="expression" dxfId="4" priority="3182">
      <formula>Z129="年"</formula>
    </cfRule>
    <cfRule type="expression" dxfId="3" priority="3183">
      <formula>Z129="事"</formula>
    </cfRule>
    <cfRule type="expression" dxfId="2" priority="3184">
      <formula>Z129="病"</formula>
    </cfRule>
  </conditionalFormatting>
  <conditionalFormatting sqref="AA129:AB129">
    <cfRule type="expression" dxfId="5" priority="7845">
      <formula>AA129="探"</formula>
    </cfRule>
    <cfRule type="expression" dxfId="4" priority="7846">
      <formula>AA129="年"</formula>
    </cfRule>
    <cfRule type="expression" dxfId="3" priority="7847">
      <formula>AA129="事"</formula>
    </cfRule>
    <cfRule type="expression" dxfId="2" priority="7848">
      <formula>AA129="病"</formula>
    </cfRule>
  </conditionalFormatting>
  <conditionalFormatting sqref="AC129">
    <cfRule type="expression" dxfId="5" priority="7841">
      <formula>AC129="探"</formula>
    </cfRule>
    <cfRule type="expression" dxfId="4" priority="7842">
      <formula>AC129="年"</formula>
    </cfRule>
    <cfRule type="expression" dxfId="3" priority="7843">
      <formula>AC129="事"</formula>
    </cfRule>
    <cfRule type="expression" dxfId="2" priority="7844">
      <formula>AC129="病"</formula>
    </cfRule>
  </conditionalFormatting>
  <conditionalFormatting sqref="AD129">
    <cfRule type="expression" dxfId="5" priority="7837">
      <formula>AD129="探"</formula>
    </cfRule>
    <cfRule type="expression" dxfId="4" priority="7838">
      <formula>AD129="年"</formula>
    </cfRule>
    <cfRule type="expression" dxfId="3" priority="7839">
      <formula>AD129="事"</formula>
    </cfRule>
    <cfRule type="expression" dxfId="2" priority="7840">
      <formula>AD129="病"</formula>
    </cfRule>
  </conditionalFormatting>
  <conditionalFormatting sqref="G130:H130">
    <cfRule type="expression" dxfId="5" priority="8917">
      <formula>G130="探"</formula>
    </cfRule>
    <cfRule type="expression" dxfId="4" priority="8918">
      <formula>G130="年"</formula>
    </cfRule>
    <cfRule type="expression" dxfId="3" priority="8919">
      <formula>G130="事"</formula>
    </cfRule>
    <cfRule type="expression" dxfId="2" priority="8920">
      <formula>G130="病"</formula>
    </cfRule>
  </conditionalFormatting>
  <conditionalFormatting sqref="I130:J130">
    <cfRule type="expression" dxfId="5" priority="8921">
      <formula>I130="探"</formula>
    </cfRule>
    <cfRule type="expression" dxfId="4" priority="8922">
      <formula>I130="年"</formula>
    </cfRule>
    <cfRule type="expression" dxfId="3" priority="8923">
      <formula>I130="事"</formula>
    </cfRule>
    <cfRule type="expression" dxfId="2" priority="8924">
      <formula>I130="病"</formula>
    </cfRule>
  </conditionalFormatting>
  <conditionalFormatting sqref="K130:N130">
    <cfRule type="expression" dxfId="5" priority="5333">
      <formula>K130="探"</formula>
    </cfRule>
    <cfRule type="expression" dxfId="4" priority="5334">
      <formula>K130="年"</formula>
    </cfRule>
    <cfRule type="expression" dxfId="3" priority="5335">
      <formula>K130="事"</formula>
    </cfRule>
    <cfRule type="expression" dxfId="2" priority="5336">
      <formula>K130="病"</formula>
    </cfRule>
  </conditionalFormatting>
  <conditionalFormatting sqref="O130">
    <cfRule type="expression" dxfId="5" priority="3173">
      <formula>O130="探"</formula>
    </cfRule>
    <cfRule type="expression" dxfId="4" priority="3174">
      <formula>O130="年"</formula>
    </cfRule>
    <cfRule type="expression" dxfId="3" priority="3175">
      <formula>O130="事"</formula>
    </cfRule>
    <cfRule type="expression" dxfId="2" priority="3176">
      <formula>O130="病"</formula>
    </cfRule>
  </conditionalFormatting>
  <conditionalFormatting sqref="P130">
    <cfRule type="expression" dxfId="5" priority="3177">
      <formula>P130="探"</formula>
    </cfRule>
    <cfRule type="expression" dxfId="4" priority="3178">
      <formula>P130="年"</formula>
    </cfRule>
    <cfRule type="expression" dxfId="3" priority="3179">
      <formula>P130="事"</formula>
    </cfRule>
    <cfRule type="expression" dxfId="2" priority="3180">
      <formula>P130="病"</formula>
    </cfRule>
  </conditionalFormatting>
  <conditionalFormatting sqref="Q130:S130">
    <cfRule type="expression" dxfId="5" priority="3169">
      <formula>Q130="探"</formula>
    </cfRule>
    <cfRule type="expression" dxfId="4" priority="3170">
      <formula>Q130="年"</formula>
    </cfRule>
    <cfRule type="expression" dxfId="3" priority="3171">
      <formula>Q130="事"</formula>
    </cfRule>
    <cfRule type="expression" dxfId="2" priority="3172">
      <formula>Q130="病"</formula>
    </cfRule>
  </conditionalFormatting>
  <conditionalFormatting sqref="T130">
    <cfRule type="expression" dxfId="5" priority="3165">
      <formula>T130="探"</formula>
    </cfRule>
    <cfRule type="expression" dxfId="4" priority="3166">
      <formula>T130="年"</formula>
    </cfRule>
    <cfRule type="expression" dxfId="3" priority="3167">
      <formula>T130="事"</formula>
    </cfRule>
    <cfRule type="expression" dxfId="2" priority="3168">
      <formula>T130="病"</formula>
    </cfRule>
  </conditionalFormatting>
  <conditionalFormatting sqref="U130">
    <cfRule type="expression" dxfId="5" priority="3161">
      <formula>U130="探"</formula>
    </cfRule>
    <cfRule type="expression" dxfId="4" priority="3162">
      <formula>U130="年"</formula>
    </cfRule>
    <cfRule type="expression" dxfId="3" priority="3163">
      <formula>U130="事"</formula>
    </cfRule>
    <cfRule type="expression" dxfId="2" priority="3164">
      <formula>U130="病"</formula>
    </cfRule>
  </conditionalFormatting>
  <conditionalFormatting sqref="V130:Z130">
    <cfRule type="expression" dxfId="5" priority="3157">
      <formula>V130="探"</formula>
    </cfRule>
    <cfRule type="expression" dxfId="4" priority="3158">
      <formula>V130="年"</formula>
    </cfRule>
    <cfRule type="expression" dxfId="3" priority="3159">
      <formula>V130="事"</formula>
    </cfRule>
    <cfRule type="expression" dxfId="2" priority="3160">
      <formula>V130="病"</formula>
    </cfRule>
  </conditionalFormatting>
  <conditionalFormatting sqref="AA130">
    <cfRule type="expression" dxfId="5" priority="7861">
      <formula>AA130="探"</formula>
    </cfRule>
    <cfRule type="expression" dxfId="4" priority="7862">
      <formula>AA130="年"</formula>
    </cfRule>
    <cfRule type="expression" dxfId="3" priority="7863">
      <formula>AA130="事"</formula>
    </cfRule>
    <cfRule type="expression" dxfId="2" priority="7864">
      <formula>AA130="病"</formula>
    </cfRule>
  </conditionalFormatting>
  <conditionalFormatting sqref="AB130:AC130">
    <cfRule type="expression" dxfId="5" priority="7857">
      <formula>AB130="探"</formula>
    </cfRule>
    <cfRule type="expression" dxfId="4" priority="7858">
      <formula>AB130="年"</formula>
    </cfRule>
    <cfRule type="expression" dxfId="3" priority="7859">
      <formula>AB130="事"</formula>
    </cfRule>
    <cfRule type="expression" dxfId="2" priority="7860">
      <formula>AB130="病"</formula>
    </cfRule>
  </conditionalFormatting>
  <conditionalFormatting sqref="AD130">
    <cfRule type="expression" dxfId="5" priority="7853">
      <formula>AD130="探"</formula>
    </cfRule>
    <cfRule type="expression" dxfId="4" priority="7854">
      <formula>AD130="年"</formula>
    </cfRule>
    <cfRule type="expression" dxfId="3" priority="7855">
      <formula>AD130="事"</formula>
    </cfRule>
    <cfRule type="expression" dxfId="2" priority="7856">
      <formula>AD130="病"</formula>
    </cfRule>
  </conditionalFormatting>
  <conditionalFormatting sqref="AE130">
    <cfRule type="expression" dxfId="2" priority="140">
      <formula>AE130="病"</formula>
    </cfRule>
    <cfRule type="expression" dxfId="3" priority="139">
      <formula>AE130="事"</formula>
    </cfRule>
    <cfRule type="expression" dxfId="4" priority="138">
      <formula>AE130="年"</formula>
    </cfRule>
    <cfRule type="expression" dxfId="5" priority="137">
      <formula>AE130="探"</formula>
    </cfRule>
  </conditionalFormatting>
  <conditionalFormatting sqref="AF130">
    <cfRule type="expression" dxfId="2" priority="136">
      <formula>AF130="病"</formula>
    </cfRule>
    <cfRule type="expression" dxfId="3" priority="135">
      <formula>AF130="事"</formula>
    </cfRule>
    <cfRule type="expression" dxfId="4" priority="134">
      <formula>AF130="年"</formula>
    </cfRule>
    <cfRule type="expression" dxfId="5" priority="133">
      <formula>AF130="探"</formula>
    </cfRule>
  </conditionalFormatting>
  <conditionalFormatting sqref="AG130">
    <cfRule type="expression" dxfId="2" priority="132">
      <formula>AG130="病"</formula>
    </cfRule>
    <cfRule type="expression" dxfId="3" priority="131">
      <formula>AG130="事"</formula>
    </cfRule>
    <cfRule type="expression" dxfId="4" priority="130">
      <formula>AG130="年"</formula>
    </cfRule>
    <cfRule type="expression" dxfId="5" priority="129">
      <formula>AG130="探"</formula>
    </cfRule>
  </conditionalFormatting>
  <conditionalFormatting sqref="AH130:AK130">
    <cfRule type="expression" dxfId="2" priority="128">
      <formula>AH130="病"</formula>
    </cfRule>
    <cfRule type="expression" dxfId="3" priority="127">
      <formula>AH130="事"</formula>
    </cfRule>
    <cfRule type="expression" dxfId="4" priority="126">
      <formula>AH130="年"</formula>
    </cfRule>
    <cfRule type="expression" dxfId="5" priority="125">
      <formula>AH130="探"</formula>
    </cfRule>
  </conditionalFormatting>
  <conditionalFormatting sqref="H131:I131">
    <cfRule type="expression" dxfId="5" priority="8909">
      <formula>H131="探"</formula>
    </cfRule>
    <cfRule type="expression" dxfId="4" priority="8910">
      <formula>H131="年"</formula>
    </cfRule>
    <cfRule type="expression" dxfId="3" priority="8911">
      <formula>H131="事"</formula>
    </cfRule>
    <cfRule type="expression" dxfId="2" priority="8912">
      <formula>H131="病"</formula>
    </cfRule>
  </conditionalFormatting>
  <conditionalFormatting sqref="J131">
    <cfRule type="expression" dxfId="5" priority="8913">
      <formula>J131="探"</formula>
    </cfRule>
    <cfRule type="expression" dxfId="4" priority="8914">
      <formula>J131="年"</formula>
    </cfRule>
    <cfRule type="expression" dxfId="3" priority="8915">
      <formula>J131="事"</formula>
    </cfRule>
    <cfRule type="expression" dxfId="2" priority="8916">
      <formula>J131="病"</formula>
    </cfRule>
  </conditionalFormatting>
  <conditionalFormatting sqref="M131">
    <cfRule type="expression" dxfId="5" priority="8509">
      <formula>M131="探"</formula>
    </cfRule>
    <cfRule type="expression" dxfId="4" priority="8510">
      <formula>M131="年"</formula>
    </cfRule>
    <cfRule type="expression" dxfId="3" priority="8511">
      <formula>M131="事"</formula>
    </cfRule>
    <cfRule type="expression" dxfId="2" priority="8512">
      <formula>M131="病"</formula>
    </cfRule>
  </conditionalFormatting>
  <conditionalFormatting sqref="N131">
    <cfRule type="expression" dxfId="5" priority="8505">
      <formula>N131="探"</formula>
    </cfRule>
    <cfRule type="expression" dxfId="4" priority="8506">
      <formula>N131="年"</formula>
    </cfRule>
    <cfRule type="expression" dxfId="3" priority="8507">
      <formula>N131="事"</formula>
    </cfRule>
    <cfRule type="expression" dxfId="2" priority="8508">
      <formula>N131="病"</formula>
    </cfRule>
  </conditionalFormatting>
  <conditionalFormatting sqref="O131:R131">
    <cfRule type="expression" dxfId="5" priority="8501">
      <formula>O131="探"</formula>
    </cfRule>
    <cfRule type="expression" dxfId="4" priority="8502">
      <formula>O131="年"</formula>
    </cfRule>
    <cfRule type="expression" dxfId="3" priority="8503">
      <formula>O131="事"</formula>
    </cfRule>
    <cfRule type="expression" dxfId="2" priority="8504">
      <formula>O131="病"</formula>
    </cfRule>
  </conditionalFormatting>
  <conditionalFormatting sqref="S131:X131">
    <cfRule type="expression" dxfId="5" priority="8497">
      <formula>S131="探"</formula>
    </cfRule>
    <cfRule type="expression" dxfId="4" priority="8498">
      <formula>S131="年"</formula>
    </cfRule>
    <cfRule type="expression" dxfId="3" priority="8499">
      <formula>S131="事"</formula>
    </cfRule>
    <cfRule type="expression" dxfId="2" priority="8500">
      <formula>S131="病"</formula>
    </cfRule>
  </conditionalFormatting>
  <conditionalFormatting sqref="Y131">
    <cfRule type="expression" dxfId="5" priority="8353">
      <formula>Y131="探"</formula>
    </cfRule>
    <cfRule type="expression" dxfId="4" priority="8354">
      <formula>Y131="年"</formula>
    </cfRule>
    <cfRule type="expression" dxfId="3" priority="8355">
      <formula>Y131="事"</formula>
    </cfRule>
    <cfRule type="expression" dxfId="2" priority="8356">
      <formula>Y131="病"</formula>
    </cfRule>
  </conditionalFormatting>
  <conditionalFormatting sqref="Z131">
    <cfRule type="expression" dxfId="5" priority="8349">
      <formula>Z131="探"</formula>
    </cfRule>
    <cfRule type="expression" dxfId="4" priority="8350">
      <formula>Z131="年"</formula>
    </cfRule>
    <cfRule type="expression" dxfId="3" priority="8351">
      <formula>Z131="事"</formula>
    </cfRule>
    <cfRule type="expression" dxfId="2" priority="8352">
      <formula>Z131="病"</formula>
    </cfRule>
  </conditionalFormatting>
  <conditionalFormatting sqref="AE131:AJ131">
    <cfRule type="expression" dxfId="2" priority="124">
      <formula>AE131="病"</formula>
    </cfRule>
    <cfRule type="expression" dxfId="3" priority="123">
      <formula>AE131="事"</formula>
    </cfRule>
    <cfRule type="expression" dxfId="4" priority="122">
      <formula>AE131="年"</formula>
    </cfRule>
    <cfRule type="expression" dxfId="5" priority="121">
      <formula>AE131="探"</formula>
    </cfRule>
  </conditionalFormatting>
  <conditionalFormatting sqref="AK131">
    <cfRule type="expression" dxfId="2" priority="120">
      <formula>AK131="病"</formula>
    </cfRule>
    <cfRule type="expression" dxfId="3" priority="119">
      <formula>AK131="事"</formula>
    </cfRule>
    <cfRule type="expression" dxfId="4" priority="118">
      <formula>AK131="年"</formula>
    </cfRule>
    <cfRule type="expression" dxfId="5" priority="117">
      <formula>AK131="探"</formula>
    </cfRule>
  </conditionalFormatting>
  <conditionalFormatting sqref="Y132:AA132">
    <cfRule type="expression" dxfId="2" priority="1432">
      <formula>Y132="病"</formula>
    </cfRule>
    <cfRule type="expression" dxfId="3" priority="1431">
      <formula>Y132="事"</formula>
    </cfRule>
    <cfRule type="expression" dxfId="4" priority="1430">
      <formula>Y132="年"</formula>
    </cfRule>
    <cfRule type="expression" dxfId="5" priority="1429">
      <formula>Y132="探"</formula>
    </cfRule>
  </conditionalFormatting>
  <conditionalFormatting sqref="AB132">
    <cfRule type="expression" dxfId="2" priority="1428">
      <formula>AB132="病"</formula>
    </cfRule>
    <cfRule type="expression" dxfId="3" priority="1427">
      <formula>AB132="事"</formula>
    </cfRule>
    <cfRule type="expression" dxfId="4" priority="1426">
      <formula>AB132="年"</formula>
    </cfRule>
    <cfRule type="expression" dxfId="5" priority="1425">
      <formula>AB132="探"</formula>
    </cfRule>
  </conditionalFormatting>
  <conditionalFormatting sqref="AC132">
    <cfRule type="expression" dxfId="2" priority="1424">
      <formula>AC132="病"</formula>
    </cfRule>
    <cfRule type="expression" dxfId="3" priority="1423">
      <formula>AC132="事"</formula>
    </cfRule>
    <cfRule type="expression" dxfId="4" priority="1422">
      <formula>AC132="年"</formula>
    </cfRule>
    <cfRule type="expression" dxfId="5" priority="1421">
      <formula>AC132="探"</formula>
    </cfRule>
  </conditionalFormatting>
  <conditionalFormatting sqref="AD132">
    <cfRule type="expression" dxfId="2" priority="1436">
      <formula>AD132="病"</formula>
    </cfRule>
    <cfRule type="expression" dxfId="3" priority="1435">
      <formula>AD132="事"</formula>
    </cfRule>
    <cfRule type="expression" dxfId="4" priority="1434">
      <formula>AD132="年"</formula>
    </cfRule>
    <cfRule type="expression" dxfId="5" priority="1433">
      <formula>AD132="探"</formula>
    </cfRule>
  </conditionalFormatting>
  <conditionalFormatting sqref="AE132:AG132">
    <cfRule type="expression" dxfId="2" priority="116">
      <formula>AE132="病"</formula>
    </cfRule>
    <cfRule type="expression" dxfId="3" priority="115">
      <formula>AE132="事"</formula>
    </cfRule>
    <cfRule type="expression" dxfId="4" priority="114">
      <formula>AE132="年"</formula>
    </cfRule>
    <cfRule type="expression" dxfId="5" priority="113">
      <formula>AE132="探"</formula>
    </cfRule>
  </conditionalFormatting>
  <conditionalFormatting sqref="AH132:AJ132">
    <cfRule type="expression" dxfId="2" priority="112">
      <formula>AH132="病"</formula>
    </cfRule>
    <cfRule type="expression" dxfId="3" priority="111">
      <formula>AH132="事"</formula>
    </cfRule>
    <cfRule type="expression" dxfId="4" priority="110">
      <formula>AH132="年"</formula>
    </cfRule>
    <cfRule type="expression" dxfId="5" priority="109">
      <formula>AH132="探"</formula>
    </cfRule>
  </conditionalFormatting>
  <conditionalFormatting sqref="AK132">
    <cfRule type="expression" dxfId="2" priority="108">
      <formula>AK132="病"</formula>
    </cfRule>
    <cfRule type="expression" dxfId="3" priority="107">
      <formula>AK132="事"</formula>
    </cfRule>
    <cfRule type="expression" dxfId="4" priority="106">
      <formula>AK132="年"</formula>
    </cfRule>
    <cfRule type="expression" dxfId="5" priority="105">
      <formula>AK132="探"</formula>
    </cfRule>
  </conditionalFormatting>
  <conditionalFormatting sqref="G133:H133">
    <cfRule type="expression" dxfId="5" priority="8901">
      <formula>G133="探"</formula>
    </cfRule>
    <cfRule type="expression" dxfId="4" priority="8902">
      <formula>G133="年"</formula>
    </cfRule>
    <cfRule type="expression" dxfId="3" priority="8903">
      <formula>G133="事"</formula>
    </cfRule>
    <cfRule type="expression" dxfId="2" priority="8904">
      <formula>G133="病"</formula>
    </cfRule>
  </conditionalFormatting>
  <conditionalFormatting sqref="I133:J133">
    <cfRule type="expression" dxfId="5" priority="8905">
      <formula>I133="探"</formula>
    </cfRule>
    <cfRule type="expression" dxfId="4" priority="8906">
      <formula>I133="年"</formula>
    </cfRule>
    <cfRule type="expression" dxfId="3" priority="8907">
      <formula>I133="事"</formula>
    </cfRule>
    <cfRule type="expression" dxfId="2" priority="8908">
      <formula>I133="病"</formula>
    </cfRule>
  </conditionalFormatting>
  <conditionalFormatting sqref="K133:L133">
    <cfRule type="expression" dxfId="5" priority="5325">
      <formula>K133="探"</formula>
    </cfRule>
    <cfRule type="expression" dxfId="4" priority="5326">
      <formula>K133="年"</formula>
    </cfRule>
    <cfRule type="expression" dxfId="3" priority="5327">
      <formula>K133="事"</formula>
    </cfRule>
    <cfRule type="expression" dxfId="2" priority="5328">
      <formula>K133="病"</formula>
    </cfRule>
  </conditionalFormatting>
  <conditionalFormatting sqref="M133:N133">
    <cfRule type="expression" dxfId="5" priority="5329">
      <formula>M133="探"</formula>
    </cfRule>
    <cfRule type="expression" dxfId="4" priority="5330">
      <formula>M133="年"</formula>
    </cfRule>
    <cfRule type="expression" dxfId="3" priority="5331">
      <formula>M133="事"</formula>
    </cfRule>
    <cfRule type="expression" dxfId="2" priority="5332">
      <formula>M133="病"</formula>
    </cfRule>
  </conditionalFormatting>
  <conditionalFormatting sqref="O133:P133">
    <cfRule type="expression" dxfId="5" priority="3109">
      <formula>O133="探"</formula>
    </cfRule>
    <cfRule type="expression" dxfId="4" priority="3110">
      <formula>O133="年"</formula>
    </cfRule>
    <cfRule type="expression" dxfId="3" priority="3111">
      <formula>O133="事"</formula>
    </cfRule>
    <cfRule type="expression" dxfId="2" priority="3112">
      <formula>O133="病"</formula>
    </cfRule>
  </conditionalFormatting>
  <conditionalFormatting sqref="Q133">
    <cfRule type="expression" dxfId="5" priority="3113">
      <formula>Q133="探"</formula>
    </cfRule>
    <cfRule type="expression" dxfId="4" priority="3114">
      <formula>Q133="年"</formula>
    </cfRule>
    <cfRule type="expression" dxfId="3" priority="3115">
      <formula>Q133="事"</formula>
    </cfRule>
    <cfRule type="expression" dxfId="2" priority="3116">
      <formula>Q133="病"</formula>
    </cfRule>
  </conditionalFormatting>
  <conditionalFormatting sqref="R133:S133">
    <cfRule type="expression" dxfId="5" priority="3101">
      <formula>R133="探"</formula>
    </cfRule>
    <cfRule type="expression" dxfId="4" priority="3102">
      <formula>R133="年"</formula>
    </cfRule>
    <cfRule type="expression" dxfId="3" priority="3103">
      <formula>R133="事"</formula>
    </cfRule>
    <cfRule type="expression" dxfId="2" priority="3104">
      <formula>R133="病"</formula>
    </cfRule>
  </conditionalFormatting>
  <conditionalFormatting sqref="T133">
    <cfRule type="expression" dxfId="5" priority="3105">
      <formula>T133="探"</formula>
    </cfRule>
    <cfRule type="expression" dxfId="4" priority="3106">
      <formula>T133="年"</formula>
    </cfRule>
    <cfRule type="expression" dxfId="3" priority="3107">
      <formula>T133="事"</formula>
    </cfRule>
    <cfRule type="expression" dxfId="2" priority="3108">
      <formula>T133="病"</formula>
    </cfRule>
  </conditionalFormatting>
  <conditionalFormatting sqref="U133:V133">
    <cfRule type="expression" dxfId="5" priority="3093">
      <formula>U133="探"</formula>
    </cfRule>
    <cfRule type="expression" dxfId="4" priority="3094">
      <formula>U133="年"</formula>
    </cfRule>
    <cfRule type="expression" dxfId="3" priority="3095">
      <formula>U133="事"</formula>
    </cfRule>
    <cfRule type="expression" dxfId="2" priority="3096">
      <formula>U133="病"</formula>
    </cfRule>
  </conditionalFormatting>
  <conditionalFormatting sqref="W133">
    <cfRule type="expression" dxfId="5" priority="3097">
      <formula>W133="探"</formula>
    </cfRule>
    <cfRule type="expression" dxfId="4" priority="3098">
      <formula>W133="年"</formula>
    </cfRule>
    <cfRule type="expression" dxfId="3" priority="3099">
      <formula>W133="事"</formula>
    </cfRule>
    <cfRule type="expression" dxfId="2" priority="3100">
      <formula>W133="病"</formula>
    </cfRule>
  </conditionalFormatting>
  <conditionalFormatting sqref="Y133">
    <cfRule type="expression" dxfId="2" priority="1420">
      <formula>Y133="病"</formula>
    </cfRule>
    <cfRule type="expression" dxfId="3" priority="1419">
      <formula>Y133="事"</formula>
    </cfRule>
    <cfRule type="expression" dxfId="4" priority="1418">
      <formula>Y133="年"</formula>
    </cfRule>
    <cfRule type="expression" dxfId="5" priority="1417">
      <formula>Y133="探"</formula>
    </cfRule>
  </conditionalFormatting>
  <conditionalFormatting sqref="Z133:AA133">
    <cfRule type="expression" dxfId="2" priority="1412">
      <formula>Z133="病"</formula>
    </cfRule>
    <cfRule type="expression" dxfId="3" priority="1411">
      <formula>Z133="事"</formula>
    </cfRule>
    <cfRule type="expression" dxfId="4" priority="1410">
      <formula>Z133="年"</formula>
    </cfRule>
    <cfRule type="expression" dxfId="5" priority="1409">
      <formula>Z133="探"</formula>
    </cfRule>
  </conditionalFormatting>
  <conditionalFormatting sqref="AB133">
    <cfRule type="expression" dxfId="2" priority="1416">
      <formula>AB133="病"</formula>
    </cfRule>
    <cfRule type="expression" dxfId="3" priority="1415">
      <formula>AB133="事"</formula>
    </cfRule>
    <cfRule type="expression" dxfId="4" priority="1414">
      <formula>AB133="年"</formula>
    </cfRule>
    <cfRule type="expression" dxfId="5" priority="1413">
      <formula>AB133="探"</formula>
    </cfRule>
  </conditionalFormatting>
  <conditionalFormatting sqref="AC133:AD133">
    <cfRule type="expression" dxfId="2" priority="1408">
      <formula>AC133="病"</formula>
    </cfRule>
    <cfRule type="expression" dxfId="3" priority="1407">
      <formula>AC133="事"</formula>
    </cfRule>
    <cfRule type="expression" dxfId="4" priority="1406">
      <formula>AC133="年"</formula>
    </cfRule>
    <cfRule type="expression" dxfId="5" priority="1405">
      <formula>AC133="探"</formula>
    </cfRule>
  </conditionalFormatting>
  <conditionalFormatting sqref="AE133">
    <cfRule type="expression" dxfId="2" priority="96">
      <formula>AE133="病"</formula>
    </cfRule>
    <cfRule type="expression" dxfId="3" priority="95">
      <formula>AE133="事"</formula>
    </cfRule>
    <cfRule type="expression" dxfId="4" priority="94">
      <formula>AE133="年"</formula>
    </cfRule>
    <cfRule type="expression" dxfId="5" priority="93">
      <formula>AE133="探"</formula>
    </cfRule>
  </conditionalFormatting>
  <conditionalFormatting sqref="AF133">
    <cfRule type="expression" dxfId="2" priority="100">
      <formula>AF133="病"</formula>
    </cfRule>
    <cfRule type="expression" dxfId="3" priority="99">
      <formula>AF133="事"</formula>
    </cfRule>
    <cfRule type="expression" dxfId="4" priority="98">
      <formula>AF133="年"</formula>
    </cfRule>
    <cfRule type="expression" dxfId="5" priority="97">
      <formula>AF133="探"</formula>
    </cfRule>
  </conditionalFormatting>
  <conditionalFormatting sqref="AG133:AH133">
    <cfRule type="expression" dxfId="2" priority="88">
      <formula>AG133="病"</formula>
    </cfRule>
    <cfRule type="expression" dxfId="3" priority="87">
      <formula>AG133="事"</formula>
    </cfRule>
    <cfRule type="expression" dxfId="4" priority="86">
      <formula>AG133="年"</formula>
    </cfRule>
    <cfRule type="expression" dxfId="5" priority="85">
      <formula>AG133="探"</formula>
    </cfRule>
  </conditionalFormatting>
  <conditionalFormatting sqref="AI133">
    <cfRule type="expression" dxfId="2" priority="92">
      <formula>AI133="病"</formula>
    </cfRule>
    <cfRule type="expression" dxfId="3" priority="91">
      <formula>AI133="事"</formula>
    </cfRule>
    <cfRule type="expression" dxfId="4" priority="90">
      <formula>AI133="年"</formula>
    </cfRule>
    <cfRule type="expression" dxfId="5" priority="89">
      <formula>AI133="探"</formula>
    </cfRule>
  </conditionalFormatting>
  <conditionalFormatting sqref="AJ133">
    <cfRule type="expression" dxfId="2" priority="104">
      <formula>AJ133="病"</formula>
    </cfRule>
    <cfRule type="expression" dxfId="3" priority="103">
      <formula>AJ133="事"</formula>
    </cfRule>
    <cfRule type="expression" dxfId="4" priority="102">
      <formula>AJ133="年"</formula>
    </cfRule>
    <cfRule type="expression" dxfId="5" priority="101">
      <formula>AJ133="探"</formula>
    </cfRule>
  </conditionalFormatting>
  <conditionalFormatting sqref="AK133">
    <cfRule type="expression" dxfId="2" priority="84">
      <formula>AK133="病"</formula>
    </cfRule>
    <cfRule type="expression" dxfId="3" priority="83">
      <formula>AK133="事"</formula>
    </cfRule>
    <cfRule type="expression" dxfId="4" priority="82">
      <formula>AK133="年"</formula>
    </cfRule>
    <cfRule type="expression" dxfId="5" priority="81">
      <formula>AK133="探"</formula>
    </cfRule>
  </conditionalFormatting>
  <conditionalFormatting sqref="G134:H134">
    <cfRule type="expression" dxfId="5" priority="8893">
      <formula>G134="探"</formula>
    </cfRule>
    <cfRule type="expression" dxfId="4" priority="8894">
      <formula>G134="年"</formula>
    </cfRule>
    <cfRule type="expression" dxfId="3" priority="8895">
      <formula>G134="事"</formula>
    </cfRule>
    <cfRule type="expression" dxfId="2" priority="8896">
      <formula>G134="病"</formula>
    </cfRule>
  </conditionalFormatting>
  <conditionalFormatting sqref="I134:J134">
    <cfRule type="expression" dxfId="5" priority="8897">
      <formula>I134="探"</formula>
    </cfRule>
    <cfRule type="expression" dxfId="4" priority="8898">
      <formula>I134="年"</formula>
    </cfRule>
    <cfRule type="expression" dxfId="3" priority="8899">
      <formula>I134="事"</formula>
    </cfRule>
    <cfRule type="expression" dxfId="2" priority="8900">
      <formula>I134="病"</formula>
    </cfRule>
  </conditionalFormatting>
  <conditionalFormatting sqref="M134">
    <cfRule type="expression" dxfId="5" priority="8489">
      <formula>M134="探"</formula>
    </cfRule>
    <cfRule type="expression" dxfId="4" priority="8490">
      <formula>M134="年"</formula>
    </cfRule>
    <cfRule type="expression" dxfId="3" priority="8491">
      <formula>M134="事"</formula>
    </cfRule>
    <cfRule type="expression" dxfId="2" priority="8492">
      <formula>M134="病"</formula>
    </cfRule>
  </conditionalFormatting>
  <conditionalFormatting sqref="N134">
    <cfRule type="expression" dxfId="5" priority="8493">
      <formula>N134="探"</formula>
    </cfRule>
    <cfRule type="expression" dxfId="4" priority="8494">
      <formula>N134="年"</formula>
    </cfRule>
    <cfRule type="expression" dxfId="3" priority="8495">
      <formula>N134="事"</formula>
    </cfRule>
    <cfRule type="expression" dxfId="2" priority="8496">
      <formula>N134="病"</formula>
    </cfRule>
  </conditionalFormatting>
  <conditionalFormatting sqref="O134:P134">
    <cfRule type="expression" dxfId="5" priority="3153">
      <formula>O134="探"</formula>
    </cfRule>
    <cfRule type="expression" dxfId="4" priority="3154">
      <formula>O134="年"</formula>
    </cfRule>
    <cfRule type="expression" dxfId="3" priority="3155">
      <formula>O134="事"</formula>
    </cfRule>
    <cfRule type="expression" dxfId="2" priority="3156">
      <formula>O134="病"</formula>
    </cfRule>
  </conditionalFormatting>
  <conditionalFormatting sqref="Q134">
    <cfRule type="expression" dxfId="5" priority="3145">
      <formula>Q134="探"</formula>
    </cfRule>
    <cfRule type="expression" dxfId="4" priority="3146">
      <formula>Q134="年"</formula>
    </cfRule>
    <cfRule type="expression" dxfId="3" priority="3147">
      <formula>Q134="事"</formula>
    </cfRule>
    <cfRule type="expression" dxfId="2" priority="3148">
      <formula>Q134="病"</formula>
    </cfRule>
  </conditionalFormatting>
  <conditionalFormatting sqref="R134">
    <cfRule type="expression" dxfId="5" priority="3149">
      <formula>R134="探"</formula>
    </cfRule>
    <cfRule type="expression" dxfId="4" priority="3150">
      <formula>R134="年"</formula>
    </cfRule>
    <cfRule type="expression" dxfId="3" priority="3151">
      <formula>R134="事"</formula>
    </cfRule>
    <cfRule type="expression" dxfId="2" priority="3152">
      <formula>R134="病"</formula>
    </cfRule>
  </conditionalFormatting>
  <conditionalFormatting sqref="S134:T134">
    <cfRule type="expression" dxfId="5" priority="3141">
      <formula>S134="探"</formula>
    </cfRule>
    <cfRule type="expression" dxfId="4" priority="3142">
      <formula>S134="年"</formula>
    </cfRule>
    <cfRule type="expression" dxfId="3" priority="3143">
      <formula>S134="事"</formula>
    </cfRule>
    <cfRule type="expression" dxfId="2" priority="3144">
      <formula>S134="病"</formula>
    </cfRule>
  </conditionalFormatting>
  <conditionalFormatting sqref="U134">
    <cfRule type="expression" dxfId="5" priority="3133">
      <formula>U134="探"</formula>
    </cfRule>
    <cfRule type="expression" dxfId="4" priority="3134">
      <formula>U134="年"</formula>
    </cfRule>
    <cfRule type="expression" dxfId="3" priority="3135">
      <formula>U134="事"</formula>
    </cfRule>
    <cfRule type="expression" dxfId="2" priority="3136">
      <formula>U134="病"</formula>
    </cfRule>
  </conditionalFormatting>
  <conditionalFormatting sqref="V134">
    <cfRule type="expression" dxfId="5" priority="3137">
      <formula>V134="探"</formula>
    </cfRule>
    <cfRule type="expression" dxfId="4" priority="3138">
      <formula>V134="年"</formula>
    </cfRule>
    <cfRule type="expression" dxfId="3" priority="3139">
      <formula>V134="事"</formula>
    </cfRule>
    <cfRule type="expression" dxfId="2" priority="3140">
      <formula>V134="病"</formula>
    </cfRule>
  </conditionalFormatting>
  <conditionalFormatting sqref="W134:X134">
    <cfRule type="expression" dxfId="5" priority="3129">
      <formula>W134="探"</formula>
    </cfRule>
    <cfRule type="expression" dxfId="4" priority="3130">
      <formula>W134="年"</formula>
    </cfRule>
    <cfRule type="expression" dxfId="3" priority="3131">
      <formula>W134="事"</formula>
    </cfRule>
    <cfRule type="expression" dxfId="2" priority="3132">
      <formula>W134="病"</formula>
    </cfRule>
  </conditionalFormatting>
  <conditionalFormatting sqref="Y134">
    <cfRule type="expression" dxfId="5" priority="3121">
      <formula>Y134="探"</formula>
    </cfRule>
    <cfRule type="expression" dxfId="4" priority="3122">
      <formula>Y134="年"</formula>
    </cfRule>
    <cfRule type="expression" dxfId="3" priority="3123">
      <formula>Y134="事"</formula>
    </cfRule>
    <cfRule type="expression" dxfId="2" priority="3124">
      <formula>Y134="病"</formula>
    </cfRule>
  </conditionalFormatting>
  <conditionalFormatting sqref="Z134">
    <cfRule type="expression" dxfId="5" priority="3125">
      <formula>Z134="探"</formula>
    </cfRule>
    <cfRule type="expression" dxfId="4" priority="3126">
      <formula>Z134="年"</formula>
    </cfRule>
    <cfRule type="expression" dxfId="3" priority="3127">
      <formula>Z134="事"</formula>
    </cfRule>
    <cfRule type="expression" dxfId="2" priority="3128">
      <formula>Z134="病"</formula>
    </cfRule>
  </conditionalFormatting>
  <conditionalFormatting sqref="AA134:AB134">
    <cfRule type="expression" dxfId="5" priority="7925">
      <formula>AA134="探"</formula>
    </cfRule>
    <cfRule type="expression" dxfId="4" priority="7926">
      <formula>AA134="年"</formula>
    </cfRule>
    <cfRule type="expression" dxfId="3" priority="7927">
      <formula>AA134="事"</formula>
    </cfRule>
    <cfRule type="expression" dxfId="2" priority="7928">
      <formula>AA134="病"</formula>
    </cfRule>
  </conditionalFormatting>
  <conditionalFormatting sqref="AC134">
    <cfRule type="expression" dxfId="5" priority="7921">
      <formula>AC134="探"</formula>
    </cfRule>
    <cfRule type="expression" dxfId="4" priority="7922">
      <formula>AC134="年"</formula>
    </cfRule>
    <cfRule type="expression" dxfId="3" priority="7923">
      <formula>AC134="事"</formula>
    </cfRule>
    <cfRule type="expression" dxfId="2" priority="7924">
      <formula>AC134="病"</formula>
    </cfRule>
  </conditionalFormatting>
  <conditionalFormatting sqref="AD134:AE134">
    <cfRule type="expression" dxfId="5" priority="7917">
      <formula>AD134="探"</formula>
    </cfRule>
    <cfRule type="expression" dxfId="4" priority="7918">
      <formula>AD134="年"</formula>
    </cfRule>
    <cfRule type="expression" dxfId="3" priority="7919">
      <formula>AD134="事"</formula>
    </cfRule>
    <cfRule type="expression" dxfId="2" priority="7920">
      <formula>AD134="病"</formula>
    </cfRule>
  </conditionalFormatting>
  <conditionalFormatting sqref="AF134">
    <cfRule type="expression" dxfId="5" priority="7913">
      <formula>AF134="探"</formula>
    </cfRule>
    <cfRule type="expression" dxfId="4" priority="7914">
      <formula>AF134="年"</formula>
    </cfRule>
    <cfRule type="expression" dxfId="3" priority="7915">
      <formula>AF134="事"</formula>
    </cfRule>
    <cfRule type="expression" dxfId="2" priority="7916">
      <formula>AF134="病"</formula>
    </cfRule>
  </conditionalFormatting>
  <conditionalFormatting sqref="AG134">
    <cfRule type="expression" dxfId="5" priority="6389">
      <formula>AG134="探"</formula>
    </cfRule>
    <cfRule type="expression" dxfId="4" priority="6390">
      <formula>AG134="年"</formula>
    </cfRule>
    <cfRule type="expression" dxfId="3" priority="6391">
      <formula>AG134="事"</formula>
    </cfRule>
    <cfRule type="expression" dxfId="2" priority="6392">
      <formula>AG134="病"</formula>
    </cfRule>
  </conditionalFormatting>
  <conditionalFormatting sqref="AH134">
    <cfRule type="expression" dxfId="5" priority="6385">
      <formula>AH134="探"</formula>
    </cfRule>
    <cfRule type="expression" dxfId="4" priority="6386">
      <formula>AH134="年"</formula>
    </cfRule>
    <cfRule type="expression" dxfId="3" priority="6387">
      <formula>AH134="事"</formula>
    </cfRule>
    <cfRule type="expression" dxfId="2" priority="6388">
      <formula>AH134="病"</formula>
    </cfRule>
  </conditionalFormatting>
  <conditionalFormatting sqref="AI134:AK134">
    <cfRule type="expression" dxfId="5" priority="6381">
      <formula>AI134="探"</formula>
    </cfRule>
    <cfRule type="expression" dxfId="4" priority="6382">
      <formula>AI134="年"</formula>
    </cfRule>
    <cfRule type="expression" dxfId="3" priority="6383">
      <formula>AI134="事"</formula>
    </cfRule>
    <cfRule type="expression" dxfId="2" priority="6384">
      <formula>AI134="病"</formula>
    </cfRule>
  </conditionalFormatting>
  <conditionalFormatting sqref="I135">
    <cfRule type="expression" dxfId="5" priority="6189">
      <formula>I135="探"</formula>
    </cfRule>
    <cfRule type="expression" dxfId="4" priority="6190">
      <formula>I135="年"</formula>
    </cfRule>
    <cfRule type="expression" dxfId="3" priority="6191">
      <formula>I135="事"</formula>
    </cfRule>
    <cfRule type="expression" dxfId="2" priority="6192">
      <formula>I135="病"</formula>
    </cfRule>
  </conditionalFormatting>
  <conditionalFormatting sqref="N135:U135">
    <cfRule type="expression" dxfId="5" priority="5957">
      <formula>N135="探"</formula>
    </cfRule>
    <cfRule type="expression" dxfId="4" priority="5958">
      <formula>N135="年"</formula>
    </cfRule>
    <cfRule type="expression" dxfId="3" priority="5959">
      <formula>N135="事"</formula>
    </cfRule>
    <cfRule type="expression" dxfId="2" priority="5960">
      <formula>N135="病"</formula>
    </cfRule>
  </conditionalFormatting>
  <conditionalFormatting sqref="V135">
    <cfRule type="expression" dxfId="5" priority="8341">
      <formula>V135="探"</formula>
    </cfRule>
    <cfRule type="expression" dxfId="4" priority="8342">
      <formula>V135="年"</formula>
    </cfRule>
    <cfRule type="expression" dxfId="3" priority="8343">
      <formula>V135="事"</formula>
    </cfRule>
    <cfRule type="expression" dxfId="2" priority="8344">
      <formula>V135="病"</formula>
    </cfRule>
  </conditionalFormatting>
  <conditionalFormatting sqref="W135">
    <cfRule type="expression" dxfId="5" priority="8337">
      <formula>W135="探"</formula>
    </cfRule>
    <cfRule type="expression" dxfId="4" priority="8338">
      <formula>W135="年"</formula>
    </cfRule>
    <cfRule type="expression" dxfId="3" priority="8339">
      <formula>W135="事"</formula>
    </cfRule>
    <cfRule type="expression" dxfId="2" priority="8340">
      <formula>W135="病"</formula>
    </cfRule>
  </conditionalFormatting>
  <conditionalFormatting sqref="X135:Y135">
    <cfRule type="expression" dxfId="5" priority="7949">
      <formula>X135="探"</formula>
    </cfRule>
    <cfRule type="expression" dxfId="4" priority="7950">
      <formula>X135="年"</formula>
    </cfRule>
    <cfRule type="expression" dxfId="3" priority="7951">
      <formula>X135="事"</formula>
    </cfRule>
    <cfRule type="expression" dxfId="2" priority="7952">
      <formula>X135="病"</formula>
    </cfRule>
  </conditionalFormatting>
  <conditionalFormatting sqref="Z135">
    <cfRule type="expression" dxfId="5" priority="7945">
      <formula>Z135="探"</formula>
    </cfRule>
    <cfRule type="expression" dxfId="4" priority="7946">
      <formula>Z135="年"</formula>
    </cfRule>
    <cfRule type="expression" dxfId="3" priority="7947">
      <formula>Z135="事"</formula>
    </cfRule>
    <cfRule type="expression" dxfId="2" priority="7948">
      <formula>Z135="病"</formula>
    </cfRule>
  </conditionalFormatting>
  <conditionalFormatting sqref="AA135:AB135">
    <cfRule type="expression" dxfId="5" priority="7941">
      <formula>AA135="探"</formula>
    </cfRule>
    <cfRule type="expression" dxfId="4" priority="7942">
      <formula>AA135="年"</formula>
    </cfRule>
    <cfRule type="expression" dxfId="3" priority="7943">
      <formula>AA135="事"</formula>
    </cfRule>
    <cfRule type="expression" dxfId="2" priority="7944">
      <formula>AA135="病"</formula>
    </cfRule>
  </conditionalFormatting>
  <conditionalFormatting sqref="AC135">
    <cfRule type="expression" dxfId="5" priority="7937">
      <formula>AC135="探"</formula>
    </cfRule>
    <cfRule type="expression" dxfId="4" priority="7938">
      <formula>AC135="年"</formula>
    </cfRule>
    <cfRule type="expression" dxfId="3" priority="7939">
      <formula>AC135="事"</formula>
    </cfRule>
    <cfRule type="expression" dxfId="2" priority="7940">
      <formula>AC135="病"</formula>
    </cfRule>
  </conditionalFormatting>
  <conditionalFormatting sqref="AD135">
    <cfRule type="expression" dxfId="5" priority="7933">
      <formula>AD135="探"</formula>
    </cfRule>
    <cfRule type="expression" dxfId="4" priority="7934">
      <formula>AD135="年"</formula>
    </cfRule>
    <cfRule type="expression" dxfId="3" priority="7935">
      <formula>AD135="事"</formula>
    </cfRule>
    <cfRule type="expression" dxfId="2" priority="7936">
      <formula>AD135="病"</formula>
    </cfRule>
  </conditionalFormatting>
  <conditionalFormatting sqref="AE135:AG135">
    <cfRule type="expression" dxfId="2" priority="68">
      <formula>AE135="病"</formula>
    </cfRule>
    <cfRule type="expression" dxfId="3" priority="67">
      <formula>AE135="事"</formula>
    </cfRule>
    <cfRule type="expression" dxfId="4" priority="66">
      <formula>AE135="年"</formula>
    </cfRule>
    <cfRule type="expression" dxfId="5" priority="65">
      <formula>AE135="探"</formula>
    </cfRule>
  </conditionalFormatting>
  <conditionalFormatting sqref="AH135">
    <cfRule type="expression" dxfId="2" priority="80">
      <formula>AH135="病"</formula>
    </cfRule>
    <cfRule type="expression" dxfId="3" priority="79">
      <formula>AH135="事"</formula>
    </cfRule>
    <cfRule type="expression" dxfId="4" priority="78">
      <formula>AH135="年"</formula>
    </cfRule>
    <cfRule type="expression" dxfId="5" priority="77">
      <formula>AH135="探"</formula>
    </cfRule>
  </conditionalFormatting>
  <conditionalFormatting sqref="AI135">
    <cfRule type="expression" dxfId="2" priority="76">
      <formula>AI135="病"</formula>
    </cfRule>
    <cfRule type="expression" dxfId="3" priority="75">
      <formula>AI135="事"</formula>
    </cfRule>
    <cfRule type="expression" dxfId="4" priority="74">
      <formula>AI135="年"</formula>
    </cfRule>
    <cfRule type="expression" dxfId="5" priority="73">
      <formula>AI135="探"</formula>
    </cfRule>
  </conditionalFormatting>
  <conditionalFormatting sqref="AJ135:AK135">
    <cfRule type="expression" dxfId="2" priority="72">
      <formula>AJ135="病"</formula>
    </cfRule>
    <cfRule type="expression" dxfId="3" priority="71">
      <formula>AJ135="事"</formula>
    </cfRule>
    <cfRule type="expression" dxfId="4" priority="70">
      <formula>AJ135="年"</formula>
    </cfRule>
    <cfRule type="expression" dxfId="5" priority="69">
      <formula>AJ135="探"</formula>
    </cfRule>
  </conditionalFormatting>
  <conditionalFormatting sqref="V136:X136">
    <cfRule type="expression" dxfId="5" priority="3117">
      <formula>V136="探"</formula>
    </cfRule>
    <cfRule type="expression" dxfId="4" priority="3118">
      <formula>V136="年"</formula>
    </cfRule>
    <cfRule type="expression" dxfId="3" priority="3119">
      <formula>V136="事"</formula>
    </cfRule>
    <cfRule type="expression" dxfId="2" priority="3120">
      <formula>V136="病"</formula>
    </cfRule>
  </conditionalFormatting>
  <conditionalFormatting sqref="Y136:AG136">
    <cfRule type="expression" dxfId="5" priority="8333">
      <formula>Y136="探"</formula>
    </cfRule>
    <cfRule type="expression" dxfId="4" priority="8334">
      <formula>Y136="年"</formula>
    </cfRule>
    <cfRule type="expression" dxfId="3" priority="8335">
      <formula>Y136="事"</formula>
    </cfRule>
    <cfRule type="expression" dxfId="2" priority="8336">
      <formula>Y136="病"</formula>
    </cfRule>
  </conditionalFormatting>
  <conditionalFormatting sqref="AH136:AK136">
    <cfRule type="expression" dxfId="5" priority="9065">
      <formula>AH136="探"</formula>
    </cfRule>
    <cfRule type="expression" dxfId="4" priority="9066">
      <formula>AH136="年"</formula>
    </cfRule>
    <cfRule type="expression" dxfId="3" priority="9067">
      <formula>AH136="事"</formula>
    </cfRule>
    <cfRule type="expression" dxfId="2" priority="9068">
      <formula>AH136="病"</formula>
    </cfRule>
  </conditionalFormatting>
  <conditionalFormatting sqref="O137:R137">
    <cfRule type="expression" dxfId="5" priority="3089">
      <formula>O137="探"</formula>
    </cfRule>
    <cfRule type="expression" dxfId="4" priority="3090">
      <formula>O137="年"</formula>
    </cfRule>
    <cfRule type="expression" dxfId="3" priority="3091">
      <formula>O137="事"</formula>
    </cfRule>
    <cfRule type="expression" dxfId="2" priority="3092">
      <formula>O137="病"</formula>
    </cfRule>
  </conditionalFormatting>
  <conditionalFormatting sqref="S137:V137">
    <cfRule type="expression" dxfId="5" priority="3085">
      <formula>S137="探"</formula>
    </cfRule>
    <cfRule type="expression" dxfId="4" priority="3086">
      <formula>S137="年"</formula>
    </cfRule>
    <cfRule type="expression" dxfId="3" priority="3087">
      <formula>S137="事"</formula>
    </cfRule>
    <cfRule type="expression" dxfId="2" priority="3088">
      <formula>S137="病"</formula>
    </cfRule>
  </conditionalFormatting>
  <conditionalFormatting sqref="W137:AK137">
    <cfRule type="expression" dxfId="5" priority="3081">
      <formula>W137="探"</formula>
    </cfRule>
    <cfRule type="expression" dxfId="4" priority="3082">
      <formula>W137="年"</formula>
    </cfRule>
    <cfRule type="expression" dxfId="3" priority="3083">
      <formula>W137="事"</formula>
    </cfRule>
    <cfRule type="expression" dxfId="2" priority="3084">
      <formula>W137="病"</formula>
    </cfRule>
  </conditionalFormatting>
  <conditionalFormatting sqref="G138:H138">
    <cfRule type="expression" dxfId="5" priority="8885">
      <formula>G138="探"</formula>
    </cfRule>
    <cfRule type="expression" dxfId="4" priority="8886">
      <formula>G138="年"</formula>
    </cfRule>
    <cfRule type="expression" dxfId="3" priority="8887">
      <formula>G138="事"</formula>
    </cfRule>
    <cfRule type="expression" dxfId="2" priority="8888">
      <formula>G138="病"</formula>
    </cfRule>
  </conditionalFormatting>
  <conditionalFormatting sqref="I138:J138">
    <cfRule type="expression" dxfId="5" priority="8889">
      <formula>I138="探"</formula>
    </cfRule>
    <cfRule type="expression" dxfId="4" priority="8890">
      <formula>I138="年"</formula>
    </cfRule>
    <cfRule type="expression" dxfId="3" priority="8891">
      <formula>I138="事"</formula>
    </cfRule>
    <cfRule type="expression" dxfId="2" priority="8892">
      <formula>I138="病"</formula>
    </cfRule>
  </conditionalFormatting>
  <conditionalFormatting sqref="T138:V138">
    <cfRule type="expression" dxfId="2" priority="1392">
      <formula>T138="病"</formula>
    </cfRule>
    <cfRule type="expression" dxfId="3" priority="1391">
      <formula>T138="事"</formula>
    </cfRule>
    <cfRule type="expression" dxfId="4" priority="1390">
      <formula>T138="年"</formula>
    </cfRule>
    <cfRule type="expression" dxfId="5" priority="1389">
      <formula>T138="探"</formula>
    </cfRule>
  </conditionalFormatting>
  <conditionalFormatting sqref="W138:Y138">
    <cfRule type="expression" dxfId="2" priority="1396">
      <formula>W138="病"</formula>
    </cfRule>
    <cfRule type="expression" dxfId="3" priority="1395">
      <formula>W138="事"</formula>
    </cfRule>
    <cfRule type="expression" dxfId="4" priority="1394">
      <formula>W138="年"</formula>
    </cfRule>
    <cfRule type="expression" dxfId="5" priority="1393">
      <formula>W138="探"</formula>
    </cfRule>
  </conditionalFormatting>
  <conditionalFormatting sqref="Z138:AD138">
    <cfRule type="expression" dxfId="5" priority="7905">
      <formula>Z138="探"</formula>
    </cfRule>
    <cfRule type="expression" dxfId="4" priority="7906">
      <formula>Z138="年"</formula>
    </cfRule>
    <cfRule type="expression" dxfId="3" priority="7907">
      <formula>Z138="事"</formula>
    </cfRule>
    <cfRule type="expression" dxfId="2" priority="7908">
      <formula>Z138="病"</formula>
    </cfRule>
  </conditionalFormatting>
  <conditionalFormatting sqref="Y139:AD139">
    <cfRule type="expression" dxfId="2" priority="1404">
      <formula>Y139="病"</formula>
    </cfRule>
    <cfRule type="expression" dxfId="3" priority="1403">
      <formula>Y139="事"</formula>
    </cfRule>
    <cfRule type="expression" dxfId="4" priority="1402">
      <formula>Y139="年"</formula>
    </cfRule>
    <cfRule type="expression" dxfId="5" priority="1401">
      <formula>Y139="探"</formula>
    </cfRule>
  </conditionalFormatting>
  <conditionalFormatting sqref="AK139">
    <cfRule type="expression" dxfId="2" priority="56">
      <formula>AK139="病"</formula>
    </cfRule>
    <cfRule type="expression" dxfId="3" priority="55">
      <formula>AK139="事"</formula>
    </cfRule>
    <cfRule type="expression" dxfId="4" priority="54">
      <formula>AK139="年"</formula>
    </cfRule>
    <cfRule type="expression" dxfId="5" priority="53">
      <formula>AK139="探"</formula>
    </cfRule>
  </conditionalFormatting>
  <conditionalFormatting sqref="Y140:AD140">
    <cfRule type="expression" dxfId="2" priority="1400">
      <formula>Y140="病"</formula>
    </cfRule>
    <cfRule type="expression" dxfId="3" priority="1399">
      <formula>Y140="事"</formula>
    </cfRule>
    <cfRule type="expression" dxfId="4" priority="1398">
      <formula>Y140="年"</formula>
    </cfRule>
    <cfRule type="expression" dxfId="5" priority="1397">
      <formula>Y140="探"</formula>
    </cfRule>
  </conditionalFormatting>
  <conditionalFormatting sqref="AK140">
    <cfRule type="expression" dxfId="2" priority="48">
      <formula>AK140="病"</formula>
    </cfRule>
    <cfRule type="expression" dxfId="3" priority="47">
      <formula>AK140="事"</formula>
    </cfRule>
    <cfRule type="expression" dxfId="4" priority="46">
      <formula>AK140="年"</formula>
    </cfRule>
    <cfRule type="expression" dxfId="5" priority="45">
      <formula>AK140="探"</formula>
    </cfRule>
  </conditionalFormatting>
  <conditionalFormatting sqref="G141:H141">
    <cfRule type="expression" dxfId="5" priority="6181">
      <formula>G141="探"</formula>
    </cfRule>
    <cfRule type="expression" dxfId="4" priority="6182">
      <formula>G141="年"</formula>
    </cfRule>
    <cfRule type="expression" dxfId="3" priority="6183">
      <formula>G141="事"</formula>
    </cfRule>
    <cfRule type="expression" dxfId="2" priority="6184">
      <formula>G141="病"</formula>
    </cfRule>
  </conditionalFormatting>
  <conditionalFormatting sqref="I141:J141">
    <cfRule type="expression" dxfId="5" priority="6185">
      <formula>I141="探"</formula>
    </cfRule>
    <cfRule type="expression" dxfId="4" priority="6186">
      <formula>I141="年"</formula>
    </cfRule>
    <cfRule type="expression" dxfId="3" priority="6187">
      <formula>I141="事"</formula>
    </cfRule>
    <cfRule type="expression" dxfId="2" priority="6188">
      <formula>I141="病"</formula>
    </cfRule>
  </conditionalFormatting>
  <conditionalFormatting sqref="K141:L141">
    <cfRule type="expression" dxfId="5" priority="5317">
      <formula>K141="探"</formula>
    </cfRule>
    <cfRule type="expression" dxfId="4" priority="5318">
      <formula>K141="年"</formula>
    </cfRule>
    <cfRule type="expression" dxfId="3" priority="5319">
      <formula>K141="事"</formula>
    </cfRule>
    <cfRule type="expression" dxfId="2" priority="5320">
      <formula>K141="病"</formula>
    </cfRule>
  </conditionalFormatting>
  <conditionalFormatting sqref="M141:P141">
    <cfRule type="expression" dxfId="5" priority="5321">
      <formula>M141="探"</formula>
    </cfRule>
    <cfRule type="expression" dxfId="4" priority="5322">
      <formula>M141="年"</formula>
    </cfRule>
    <cfRule type="expression" dxfId="3" priority="5323">
      <formula>M141="事"</formula>
    </cfRule>
    <cfRule type="expression" dxfId="2" priority="5324">
      <formula>M141="病"</formula>
    </cfRule>
  </conditionalFormatting>
  <conditionalFormatting sqref="Q141:R141">
    <cfRule type="expression" dxfId="5" priority="8485">
      <formula>Q141="探"</formula>
    </cfRule>
    <cfRule type="expression" dxfId="4" priority="8486">
      <formula>Q141="年"</formula>
    </cfRule>
    <cfRule type="expression" dxfId="3" priority="8487">
      <formula>Q141="事"</formula>
    </cfRule>
    <cfRule type="expression" dxfId="2" priority="8488">
      <formula>Q141="病"</formula>
    </cfRule>
  </conditionalFormatting>
  <conditionalFormatting sqref="S141:X141">
    <cfRule type="expression" dxfId="5" priority="3053">
      <formula>S141="探"</formula>
    </cfRule>
    <cfRule type="expression" dxfId="4" priority="3054">
      <formula>S141="年"</formula>
    </cfRule>
    <cfRule type="expression" dxfId="3" priority="3055">
      <formula>S141="事"</formula>
    </cfRule>
    <cfRule type="expression" dxfId="2" priority="3056">
      <formula>S141="病"</formula>
    </cfRule>
  </conditionalFormatting>
  <conditionalFormatting sqref="Y141">
    <cfRule type="expression" dxfId="5" priority="7973">
      <formula>Y141="探"</formula>
    </cfRule>
    <cfRule type="expression" dxfId="4" priority="7974">
      <formula>Y141="年"</formula>
    </cfRule>
    <cfRule type="expression" dxfId="3" priority="7975">
      <formula>Y141="事"</formula>
    </cfRule>
    <cfRule type="expression" dxfId="2" priority="7976">
      <formula>Y141="病"</formula>
    </cfRule>
  </conditionalFormatting>
  <conditionalFormatting sqref="Z141:AB141">
    <cfRule type="expression" dxfId="5" priority="7969">
      <formula>Z141="探"</formula>
    </cfRule>
    <cfRule type="expression" dxfId="4" priority="7970">
      <formula>Z141="年"</formula>
    </cfRule>
    <cfRule type="expression" dxfId="3" priority="7971">
      <formula>Z141="事"</formula>
    </cfRule>
    <cfRule type="expression" dxfId="2" priority="7972">
      <formula>Z141="病"</formula>
    </cfRule>
  </conditionalFormatting>
  <conditionalFormatting sqref="AC141">
    <cfRule type="expression" dxfId="5" priority="7965">
      <formula>AC141="探"</formula>
    </cfRule>
    <cfRule type="expression" dxfId="4" priority="7966">
      <formula>AC141="年"</formula>
    </cfRule>
    <cfRule type="expression" dxfId="3" priority="7967">
      <formula>AC141="事"</formula>
    </cfRule>
    <cfRule type="expression" dxfId="2" priority="7968">
      <formula>AC141="病"</formula>
    </cfRule>
  </conditionalFormatting>
  <conditionalFormatting sqref="AD141">
    <cfRule type="expression" dxfId="5" priority="7961">
      <formula>AD141="探"</formula>
    </cfRule>
    <cfRule type="expression" dxfId="4" priority="7962">
      <formula>AD141="年"</formula>
    </cfRule>
    <cfRule type="expression" dxfId="3" priority="7963">
      <formula>AD141="事"</formula>
    </cfRule>
    <cfRule type="expression" dxfId="2" priority="7964">
      <formula>AD141="病"</formula>
    </cfRule>
  </conditionalFormatting>
  <conditionalFormatting sqref="AE141:AH141">
    <cfRule type="expression" dxfId="2" priority="36">
      <formula>AE141="病"</formula>
    </cfRule>
    <cfRule type="expression" dxfId="3" priority="35">
      <formula>AE141="事"</formula>
    </cfRule>
    <cfRule type="expression" dxfId="4" priority="34">
      <formula>AE141="年"</formula>
    </cfRule>
    <cfRule type="expression" dxfId="5" priority="33">
      <formula>AE141="探"</formula>
    </cfRule>
  </conditionalFormatting>
  <conditionalFormatting sqref="AI141">
    <cfRule type="expression" dxfId="2" priority="44">
      <formula>AI141="病"</formula>
    </cfRule>
    <cfRule type="expression" dxfId="3" priority="43">
      <formula>AI141="事"</formula>
    </cfRule>
    <cfRule type="expression" dxfId="4" priority="42">
      <formula>AI141="年"</formula>
    </cfRule>
    <cfRule type="expression" dxfId="5" priority="41">
      <formula>AI141="探"</formula>
    </cfRule>
  </conditionalFormatting>
  <conditionalFormatting sqref="AJ141:AK141">
    <cfRule type="expression" dxfId="2" priority="40">
      <formula>AJ141="病"</formula>
    </cfRule>
    <cfRule type="expression" dxfId="3" priority="39">
      <formula>AJ141="事"</formula>
    </cfRule>
    <cfRule type="expression" dxfId="4" priority="38">
      <formula>AJ141="年"</formula>
    </cfRule>
    <cfRule type="expression" dxfId="5" priority="37">
      <formula>AJ141="探"</formula>
    </cfRule>
  </conditionalFormatting>
  <conditionalFormatting sqref="G142:X142">
    <cfRule type="expression" dxfId="5" priority="6341">
      <formula>G142="探"</formula>
    </cfRule>
    <cfRule type="expression" dxfId="4" priority="6342">
      <formula>G142="年"</formula>
    </cfRule>
    <cfRule type="expression" dxfId="3" priority="6343">
      <formula>G142="事"</formula>
    </cfRule>
    <cfRule type="expression" dxfId="2" priority="6344">
      <formula>G142="病"</formula>
    </cfRule>
  </conditionalFormatting>
  <conditionalFormatting sqref="Y142:AD142">
    <cfRule type="expression" dxfId="5" priority="8881">
      <formula>Y142="探"</formula>
    </cfRule>
    <cfRule type="expression" dxfId="4" priority="8882">
      <formula>Y142="年"</formula>
    </cfRule>
    <cfRule type="expression" dxfId="3" priority="8883">
      <formula>Y142="事"</formula>
    </cfRule>
    <cfRule type="expression" dxfId="2" priority="8884">
      <formula>Y142="病"</formula>
    </cfRule>
  </conditionalFormatting>
  <conditionalFormatting sqref="AE142:AJ142">
    <cfRule type="expression" dxfId="2" priority="28">
      <formula>AE142="病"</formula>
    </cfRule>
    <cfRule type="expression" dxfId="3" priority="27">
      <formula>AE142="事"</formula>
    </cfRule>
    <cfRule type="expression" dxfId="4" priority="26">
      <formula>AE142="年"</formula>
    </cfRule>
    <cfRule type="expression" dxfId="5" priority="25">
      <formula>AE142="探"</formula>
    </cfRule>
  </conditionalFormatting>
  <conditionalFormatting sqref="AK142">
    <cfRule type="expression" dxfId="2" priority="32">
      <formula>AK142="病"</formula>
    </cfRule>
    <cfRule type="expression" dxfId="3" priority="31">
      <formula>AK142="事"</formula>
    </cfRule>
    <cfRule type="expression" dxfId="4" priority="30">
      <formula>AK142="年"</formula>
    </cfRule>
    <cfRule type="expression" dxfId="5" priority="29">
      <formula>AK142="探"</formula>
    </cfRule>
  </conditionalFormatting>
  <conditionalFormatting sqref="G143">
    <cfRule type="expression" dxfId="5" priority="6177">
      <formula>G143="探"</formula>
    </cfRule>
    <cfRule type="expression" dxfId="4" priority="6178">
      <formula>G143="年"</formula>
    </cfRule>
    <cfRule type="expression" dxfId="3" priority="6179">
      <formula>G143="事"</formula>
    </cfRule>
    <cfRule type="expression" dxfId="2" priority="6180">
      <formula>G143="病"</formula>
    </cfRule>
  </conditionalFormatting>
  <conditionalFormatting sqref="H143:I143">
    <cfRule type="expression" dxfId="5" priority="6169">
      <formula>H143="探"</formula>
    </cfRule>
    <cfRule type="expression" dxfId="4" priority="6170">
      <formula>H143="年"</formula>
    </cfRule>
    <cfRule type="expression" dxfId="3" priority="6171">
      <formula>H143="事"</formula>
    </cfRule>
    <cfRule type="expression" dxfId="2" priority="6172">
      <formula>H143="病"</formula>
    </cfRule>
  </conditionalFormatting>
  <conditionalFormatting sqref="J143">
    <cfRule type="expression" dxfId="5" priority="6173">
      <formula>J143="探"</formula>
    </cfRule>
    <cfRule type="expression" dxfId="4" priority="6174">
      <formula>J143="年"</formula>
    </cfRule>
    <cfRule type="expression" dxfId="3" priority="6175">
      <formula>J143="事"</formula>
    </cfRule>
    <cfRule type="expression" dxfId="2" priority="6176">
      <formula>J143="病"</formula>
    </cfRule>
  </conditionalFormatting>
  <conditionalFormatting sqref="K143:L143">
    <cfRule type="expression" dxfId="5" priority="9089">
      <formula>K143="探"</formula>
    </cfRule>
    <cfRule type="expression" dxfId="4" priority="9090">
      <formula>K143="年"</formula>
    </cfRule>
    <cfRule type="expression" dxfId="3" priority="9091">
      <formula>K143="事"</formula>
    </cfRule>
    <cfRule type="expression" dxfId="2" priority="9092">
      <formula>K143="病"</formula>
    </cfRule>
  </conditionalFormatting>
  <conditionalFormatting sqref="M143:N143">
    <cfRule type="expression" dxfId="5" priority="8481">
      <formula>M143="探"</formula>
    </cfRule>
    <cfRule type="expression" dxfId="4" priority="8482">
      <formula>M143="年"</formula>
    </cfRule>
    <cfRule type="expression" dxfId="3" priority="8483">
      <formula>M143="事"</formula>
    </cfRule>
    <cfRule type="expression" dxfId="2" priority="8484">
      <formula>M143="病"</formula>
    </cfRule>
  </conditionalFormatting>
  <conditionalFormatting sqref="O143:P143">
    <cfRule type="expression" dxfId="5" priority="3077">
      <formula>O143="探"</formula>
    </cfRule>
    <cfRule type="expression" dxfId="4" priority="3078">
      <formula>O143="年"</formula>
    </cfRule>
    <cfRule type="expression" dxfId="3" priority="3079">
      <formula>O143="事"</formula>
    </cfRule>
    <cfRule type="expression" dxfId="2" priority="3080">
      <formula>O143="病"</formula>
    </cfRule>
  </conditionalFormatting>
  <conditionalFormatting sqref="Q143:R143">
    <cfRule type="expression" dxfId="5" priority="3073">
      <formula>Q143="探"</formula>
    </cfRule>
    <cfRule type="expression" dxfId="4" priority="3074">
      <formula>Q143="年"</formula>
    </cfRule>
    <cfRule type="expression" dxfId="3" priority="3075">
      <formula>Q143="事"</formula>
    </cfRule>
    <cfRule type="expression" dxfId="2" priority="3076">
      <formula>Q143="病"</formula>
    </cfRule>
  </conditionalFormatting>
  <conditionalFormatting sqref="S143:T143">
    <cfRule type="expression" dxfId="5" priority="3069">
      <formula>S143="探"</formula>
    </cfRule>
    <cfRule type="expression" dxfId="4" priority="3070">
      <formula>S143="年"</formula>
    </cfRule>
    <cfRule type="expression" dxfId="3" priority="3071">
      <formula>S143="事"</formula>
    </cfRule>
    <cfRule type="expression" dxfId="2" priority="3072">
      <formula>S143="病"</formula>
    </cfRule>
  </conditionalFormatting>
  <conditionalFormatting sqref="U143:V143">
    <cfRule type="expression" dxfId="5" priority="3065">
      <formula>U143="探"</formula>
    </cfRule>
    <cfRule type="expression" dxfId="4" priority="3066">
      <formula>U143="年"</formula>
    </cfRule>
    <cfRule type="expression" dxfId="3" priority="3067">
      <formula>U143="事"</formula>
    </cfRule>
    <cfRule type="expression" dxfId="2" priority="3068">
      <formula>U143="病"</formula>
    </cfRule>
  </conditionalFormatting>
  <conditionalFormatting sqref="W143:X143">
    <cfRule type="expression" dxfId="5" priority="3061">
      <formula>W143="探"</formula>
    </cfRule>
    <cfRule type="expression" dxfId="4" priority="3062">
      <formula>W143="年"</formula>
    </cfRule>
    <cfRule type="expression" dxfId="3" priority="3063">
      <formula>W143="事"</formula>
    </cfRule>
    <cfRule type="expression" dxfId="2" priority="3064">
      <formula>W143="病"</formula>
    </cfRule>
  </conditionalFormatting>
  <conditionalFormatting sqref="Y143:Z143">
    <cfRule type="expression" dxfId="5" priority="3057">
      <formula>Y143="探"</formula>
    </cfRule>
    <cfRule type="expression" dxfId="4" priority="3058">
      <formula>Y143="年"</formula>
    </cfRule>
    <cfRule type="expression" dxfId="3" priority="3059">
      <formula>Y143="事"</formula>
    </cfRule>
    <cfRule type="expression" dxfId="2" priority="3060">
      <formula>Y143="病"</formula>
    </cfRule>
  </conditionalFormatting>
  <conditionalFormatting sqref="AA143:AD143">
    <cfRule type="expression" dxfId="5" priority="7977">
      <formula>AA143="探"</formula>
    </cfRule>
    <cfRule type="expression" dxfId="4" priority="7978">
      <formula>AA143="年"</formula>
    </cfRule>
    <cfRule type="expression" dxfId="3" priority="7979">
      <formula>AA143="事"</formula>
    </cfRule>
    <cfRule type="expression" dxfId="2" priority="7980">
      <formula>AA143="病"</formula>
    </cfRule>
  </conditionalFormatting>
  <conditionalFormatting sqref="AE143">
    <cfRule type="expression" dxfId="2" priority="24">
      <formula>AE143="病"</formula>
    </cfRule>
    <cfRule type="expression" dxfId="3" priority="23">
      <formula>AE143="事"</formula>
    </cfRule>
    <cfRule type="expression" dxfId="4" priority="22">
      <formula>AE143="年"</formula>
    </cfRule>
    <cfRule type="expression" dxfId="5" priority="21">
      <formula>AE143="探"</formula>
    </cfRule>
  </conditionalFormatting>
  <conditionalFormatting sqref="AF143:AG143">
    <cfRule type="expression" dxfId="2" priority="20">
      <formula>AF143="病"</formula>
    </cfRule>
    <cfRule type="expression" dxfId="3" priority="19">
      <formula>AF143="事"</formula>
    </cfRule>
    <cfRule type="expression" dxfId="4" priority="18">
      <formula>AF143="年"</formula>
    </cfRule>
    <cfRule type="expression" dxfId="5" priority="17">
      <formula>AF143="探"</formula>
    </cfRule>
  </conditionalFormatting>
  <conditionalFormatting sqref="AH143:AI143">
    <cfRule type="expression" dxfId="2" priority="16">
      <formula>AH143="病"</formula>
    </cfRule>
    <cfRule type="expression" dxfId="3" priority="15">
      <formula>AH143="事"</formula>
    </cfRule>
    <cfRule type="expression" dxfId="4" priority="14">
      <formula>AH143="年"</formula>
    </cfRule>
    <cfRule type="expression" dxfId="5" priority="13">
      <formula>AH143="探"</formula>
    </cfRule>
  </conditionalFormatting>
  <conditionalFormatting sqref="AJ143:AK143">
    <cfRule type="expression" dxfId="2" priority="12">
      <formula>AJ143="病"</formula>
    </cfRule>
    <cfRule type="expression" dxfId="3" priority="11">
      <formula>AJ143="事"</formula>
    </cfRule>
    <cfRule type="expression" dxfId="4" priority="10">
      <formula>AJ143="年"</formula>
    </cfRule>
    <cfRule type="expression" dxfId="5" priority="9">
      <formula>AJ143="探"</formula>
    </cfRule>
  </conditionalFormatting>
  <conditionalFormatting sqref="AF144:AG144">
    <cfRule type="expression" dxfId="2" priority="8">
      <formula>AF144="病"</formula>
    </cfRule>
    <cfRule type="expression" dxfId="3" priority="7">
      <formula>AF144="事"</formula>
    </cfRule>
    <cfRule type="expression" dxfId="4" priority="6">
      <formula>AF144="年"</formula>
    </cfRule>
    <cfRule type="expression" dxfId="5" priority="5">
      <formula>AF144="探"</formula>
    </cfRule>
  </conditionalFormatting>
  <conditionalFormatting sqref="AH144:AK144">
    <cfRule type="expression" dxfId="2" priority="4">
      <formula>AH144="病"</formula>
    </cfRule>
    <cfRule type="expression" dxfId="3" priority="3">
      <formula>AH144="事"</formula>
    </cfRule>
    <cfRule type="expression" dxfId="4" priority="2">
      <formula>AH144="年"</formula>
    </cfRule>
    <cfRule type="expression" dxfId="5" priority="1">
      <formula>AH144="探"</formula>
    </cfRule>
  </conditionalFormatting>
  <conditionalFormatting sqref="AD145:AK145">
    <cfRule type="expression" dxfId="5" priority="19527">
      <formula>AD145="探"</formula>
    </cfRule>
    <cfRule type="expression" dxfId="4" priority="19528">
      <formula>AD145="年"</formula>
    </cfRule>
    <cfRule type="expression" dxfId="3" priority="19529">
      <formula>AD145="事"</formula>
    </cfRule>
    <cfRule type="expression" dxfId="2" priority="19530">
      <formula>AD145="病"</formula>
    </cfRule>
  </conditionalFormatting>
  <conditionalFormatting sqref="AA149:AD149">
    <cfRule type="expression" dxfId="5" priority="19655">
      <formula>AA149="探"</formula>
    </cfRule>
    <cfRule type="expression" dxfId="4" priority="19656">
      <formula>AA149="年"</formula>
    </cfRule>
    <cfRule type="expression" dxfId="3" priority="19657">
      <formula>AA149="事"</formula>
    </cfRule>
    <cfRule type="expression" dxfId="2" priority="19658">
      <formula>AA149="病"</formula>
    </cfRule>
  </conditionalFormatting>
  <conditionalFormatting sqref="R152">
    <cfRule type="expression" dxfId="5" priority="19643">
      <formula>R152="探"</formula>
    </cfRule>
    <cfRule type="expression" dxfId="4" priority="19644">
      <formula>R152="年"</formula>
    </cfRule>
    <cfRule type="expression" dxfId="3" priority="19645">
      <formula>R152="事"</formula>
    </cfRule>
    <cfRule type="expression" dxfId="2" priority="19646">
      <formula>R152="病"</formula>
    </cfRule>
  </conditionalFormatting>
  <conditionalFormatting sqref="T152:W152">
    <cfRule type="expression" dxfId="5" priority="19551">
      <formula>T152="探"</formula>
    </cfRule>
    <cfRule type="expression" dxfId="4" priority="19552">
      <formula>T152="年"</formula>
    </cfRule>
    <cfRule type="expression" dxfId="3" priority="19553">
      <formula>T152="事"</formula>
    </cfRule>
    <cfRule type="expression" dxfId="2" priority="19554">
      <formula>T152="病"</formula>
    </cfRule>
  </conditionalFormatting>
  <conditionalFormatting sqref="AA152:AD152">
    <cfRule type="expression" dxfId="5" priority="19531">
      <formula>AA152="探"</formula>
    </cfRule>
    <cfRule type="expression" dxfId="4" priority="19532">
      <formula>AA152="年"</formula>
    </cfRule>
    <cfRule type="expression" dxfId="3" priority="19533">
      <formula>AA152="事"</formula>
    </cfRule>
    <cfRule type="expression" dxfId="2" priority="19534">
      <formula>AA152="病"</formula>
    </cfRule>
  </conditionalFormatting>
  <conditionalFormatting sqref="I153:AB153">
    <cfRule type="expression" dxfId="5" priority="19651">
      <formula>I153="探"</formula>
    </cfRule>
    <cfRule type="expression" dxfId="4" priority="19652">
      <formula>I153="年"</formula>
    </cfRule>
    <cfRule type="expression" dxfId="3" priority="19653">
      <formula>I153="事"</formula>
    </cfRule>
    <cfRule type="expression" dxfId="2" priority="19654">
      <formula>I153="病"</formula>
    </cfRule>
  </conditionalFormatting>
  <conditionalFormatting sqref="AC153">
    <cfRule type="expression" dxfId="5" priority="19315">
      <formula>AC153="探"</formula>
    </cfRule>
    <cfRule type="expression" dxfId="4" priority="19316">
      <formula>AC153="年"</formula>
    </cfRule>
    <cfRule type="expression" dxfId="3" priority="19317">
      <formula>AC153="事"</formula>
    </cfRule>
    <cfRule type="expression" dxfId="2" priority="19318">
      <formula>AC153="病"</formula>
    </cfRule>
  </conditionalFormatting>
  <conditionalFormatting sqref="AD153">
    <cfRule type="expression" dxfId="5" priority="19311">
      <formula>AD153="探"</formula>
    </cfRule>
    <cfRule type="expression" dxfId="4" priority="19312">
      <formula>AD153="年"</formula>
    </cfRule>
    <cfRule type="expression" dxfId="3" priority="19313">
      <formula>AD153="事"</formula>
    </cfRule>
    <cfRule type="expression" dxfId="2" priority="19314">
      <formula>AD153="病"</formula>
    </cfRule>
  </conditionalFormatting>
  <conditionalFormatting sqref="AE153">
    <cfRule type="expression" dxfId="5" priority="19307">
      <formula>AE153="探"</formula>
    </cfRule>
    <cfRule type="expression" dxfId="4" priority="19308">
      <formula>AE153="年"</formula>
    </cfRule>
    <cfRule type="expression" dxfId="3" priority="19309">
      <formula>AE153="事"</formula>
    </cfRule>
    <cfRule type="expression" dxfId="2" priority="19310">
      <formula>AE153="病"</formula>
    </cfRule>
  </conditionalFormatting>
  <conditionalFormatting sqref="K437">
    <cfRule type="expression" dxfId="2" priority="19716">
      <formula>F69="病"</formula>
    </cfRule>
  </conditionalFormatting>
  <conditionalFormatting sqref="H62:H63">
    <cfRule type="expression" dxfId="5" priority="9069">
      <formula>H62="探"</formula>
    </cfRule>
    <cfRule type="expression" dxfId="4" priority="9070">
      <formula>H62="年"</formula>
    </cfRule>
    <cfRule type="expression" dxfId="3" priority="9071">
      <formula>H62="事"</formula>
    </cfRule>
    <cfRule type="expression" dxfId="2" priority="9072">
      <formula>H62="病"</formula>
    </cfRule>
  </conditionalFormatting>
  <conditionalFormatting sqref="J67:J68">
    <cfRule type="expression" dxfId="5" priority="8977">
      <formula>J67="探"</formula>
    </cfRule>
    <cfRule type="expression" dxfId="4" priority="8978">
      <formula>J67="年"</formula>
    </cfRule>
    <cfRule type="expression" dxfId="3" priority="8979">
      <formula>J67="事"</formula>
    </cfRule>
    <cfRule type="expression" dxfId="2" priority="8980">
      <formula>J67="病"</formula>
    </cfRule>
  </conditionalFormatting>
  <conditionalFormatting sqref="K17:K18">
    <cfRule type="expression" dxfId="2" priority="6116">
      <formula>K17="病"</formula>
    </cfRule>
    <cfRule type="expression" dxfId="3" priority="6115">
      <formula>K17="事"</formula>
    </cfRule>
    <cfRule type="expression" dxfId="4" priority="6114">
      <formula>K17="年"</formula>
    </cfRule>
    <cfRule type="expression" dxfId="5" priority="6113">
      <formula>K17="探"</formula>
    </cfRule>
  </conditionalFormatting>
  <conditionalFormatting sqref="K66:K67">
    <cfRule type="expression" dxfId="5" priority="5697">
      <formula>K66="探"</formula>
    </cfRule>
    <cfRule type="expression" dxfId="4" priority="5698">
      <formula>K66="年"</formula>
    </cfRule>
    <cfRule type="expression" dxfId="3" priority="5699">
      <formula>K66="事"</formula>
    </cfRule>
    <cfRule type="expression" dxfId="2" priority="5700">
      <formula>K66="病"</formula>
    </cfRule>
  </conditionalFormatting>
  <conditionalFormatting sqref="L62:L63">
    <cfRule type="expression" dxfId="5" priority="5729">
      <formula>L62="探"</formula>
    </cfRule>
    <cfRule type="expression" dxfId="4" priority="5730">
      <formula>L62="年"</formula>
    </cfRule>
    <cfRule type="expression" dxfId="3" priority="5731">
      <formula>L62="事"</formula>
    </cfRule>
    <cfRule type="expression" dxfId="2" priority="5732">
      <formula>L62="病"</formula>
    </cfRule>
  </conditionalFormatting>
  <conditionalFormatting sqref="L66:L67">
    <cfRule type="expression" dxfId="5" priority="5693">
      <formula>L66="探"</formula>
    </cfRule>
    <cfRule type="expression" dxfId="4" priority="5694">
      <formula>L66="年"</formula>
    </cfRule>
    <cfRule type="expression" dxfId="3" priority="5695">
      <formula>L66="事"</formula>
    </cfRule>
    <cfRule type="expression" dxfId="2" priority="5696">
      <formula>L66="病"</formula>
    </cfRule>
  </conditionalFormatting>
  <conditionalFormatting sqref="M20:M21">
    <cfRule type="expression" dxfId="2" priority="6084">
      <formula>M20="病"</formula>
    </cfRule>
    <cfRule type="expression" dxfId="3" priority="6083">
      <formula>M20="事"</formula>
    </cfRule>
    <cfRule type="expression" dxfId="4" priority="6082">
      <formula>M20="年"</formula>
    </cfRule>
    <cfRule type="expression" dxfId="5" priority="6081">
      <formula>M20="探"</formula>
    </cfRule>
  </conditionalFormatting>
  <conditionalFormatting sqref="M62:M63">
    <cfRule type="expression" dxfId="5" priority="5725">
      <formula>M62="探"</formula>
    </cfRule>
    <cfRule type="expression" dxfId="4" priority="5726">
      <formula>M62="年"</formula>
    </cfRule>
    <cfRule type="expression" dxfId="3" priority="5727">
      <formula>M62="事"</formula>
    </cfRule>
    <cfRule type="expression" dxfId="2" priority="5728">
      <formula>M62="病"</formula>
    </cfRule>
  </conditionalFormatting>
  <conditionalFormatting sqref="N17:N18">
    <cfRule type="expression" dxfId="2" priority="6112">
      <formula>N17="病"</formula>
    </cfRule>
    <cfRule type="expression" dxfId="3" priority="6111">
      <formula>N17="事"</formula>
    </cfRule>
    <cfRule type="expression" dxfId="4" priority="6110">
      <formula>N17="年"</formula>
    </cfRule>
    <cfRule type="expression" dxfId="5" priority="6109">
      <formula>N17="探"</formula>
    </cfRule>
  </conditionalFormatting>
  <conditionalFormatting sqref="N62:N63">
    <cfRule type="expression" dxfId="5" priority="5721">
      <formula>N62="探"</formula>
    </cfRule>
    <cfRule type="expression" dxfId="4" priority="5722">
      <formula>N62="年"</formula>
    </cfRule>
    <cfRule type="expression" dxfId="3" priority="5723">
      <formula>N62="事"</formula>
    </cfRule>
    <cfRule type="expression" dxfId="2" priority="5724">
      <formula>N62="病"</formula>
    </cfRule>
  </conditionalFormatting>
  <conditionalFormatting sqref="O17:O18">
    <cfRule type="expression" dxfId="2" priority="8776">
      <formula>O17="病"</formula>
    </cfRule>
    <cfRule type="expression" dxfId="3" priority="8775">
      <formula>O17="事"</formula>
    </cfRule>
    <cfRule type="expression" dxfId="4" priority="8774">
      <formula>O17="年"</formula>
    </cfRule>
    <cfRule type="expression" dxfId="5" priority="8773">
      <formula>O17="探"</formula>
    </cfRule>
  </conditionalFormatting>
  <conditionalFormatting sqref="O62:O63">
    <cfRule type="expression" dxfId="5" priority="4789">
      <formula>O62="探"</formula>
    </cfRule>
    <cfRule type="expression" dxfId="4" priority="4790">
      <formula>O62="年"</formula>
    </cfRule>
    <cfRule type="expression" dxfId="3" priority="4791">
      <formula>O62="事"</formula>
    </cfRule>
    <cfRule type="expression" dxfId="2" priority="4792">
      <formula>O62="病"</formula>
    </cfRule>
  </conditionalFormatting>
  <conditionalFormatting sqref="O126:O127">
    <cfRule type="expression" dxfId="5" priority="3233">
      <formula>O126="探"</formula>
    </cfRule>
    <cfRule type="expression" dxfId="4" priority="3234">
      <formula>O126="年"</formula>
    </cfRule>
    <cfRule type="expression" dxfId="3" priority="3235">
      <formula>O126="事"</formula>
    </cfRule>
    <cfRule type="expression" dxfId="2" priority="3236">
      <formula>O126="病"</formula>
    </cfRule>
  </conditionalFormatting>
  <conditionalFormatting sqref="P62:P63">
    <cfRule type="expression" dxfId="5" priority="4785">
      <formula>P62="探"</formula>
    </cfRule>
    <cfRule type="expression" dxfId="4" priority="4786">
      <formula>P62="年"</formula>
    </cfRule>
    <cfRule type="expression" dxfId="3" priority="4787">
      <formula>P62="事"</formula>
    </cfRule>
    <cfRule type="expression" dxfId="2" priority="4788">
      <formula>P62="病"</formula>
    </cfRule>
  </conditionalFormatting>
  <conditionalFormatting sqref="P126:P127">
    <cfRule type="expression" dxfId="5" priority="3229">
      <formula>P126="探"</formula>
    </cfRule>
    <cfRule type="expression" dxfId="4" priority="3230">
      <formula>P126="年"</formula>
    </cfRule>
    <cfRule type="expression" dxfId="3" priority="3231">
      <formula>P126="事"</formula>
    </cfRule>
    <cfRule type="expression" dxfId="2" priority="3232">
      <formula>P126="病"</formula>
    </cfRule>
  </conditionalFormatting>
  <conditionalFormatting sqref="Q62:Q63">
    <cfRule type="expression" dxfId="5" priority="4777">
      <formula>Q62="探"</formula>
    </cfRule>
    <cfRule type="expression" dxfId="4" priority="4778">
      <formula>Q62="年"</formula>
    </cfRule>
    <cfRule type="expression" dxfId="3" priority="4779">
      <formula>Q62="事"</formula>
    </cfRule>
    <cfRule type="expression" dxfId="2" priority="4780">
      <formula>Q62="病"</formula>
    </cfRule>
  </conditionalFormatting>
  <conditionalFormatting sqref="R17:R18">
    <cfRule type="expression" dxfId="2" priority="5256">
      <formula>R17="病"</formula>
    </cfRule>
    <cfRule type="expression" dxfId="3" priority="5255">
      <formula>R17="事"</formula>
    </cfRule>
    <cfRule type="expression" dxfId="4" priority="5254">
      <formula>R17="年"</formula>
    </cfRule>
    <cfRule type="expression" dxfId="5" priority="5253">
      <formula>R17="探"</formula>
    </cfRule>
  </conditionalFormatting>
  <conditionalFormatting sqref="R62:R63">
    <cfRule type="expression" dxfId="5" priority="4781">
      <formula>R62="探"</formula>
    </cfRule>
    <cfRule type="expression" dxfId="4" priority="4782">
      <formula>R62="年"</formula>
    </cfRule>
    <cfRule type="expression" dxfId="3" priority="4783">
      <formula>R62="事"</formula>
    </cfRule>
    <cfRule type="expression" dxfId="2" priority="4784">
      <formula>R62="病"</formula>
    </cfRule>
  </conditionalFormatting>
  <conditionalFormatting sqref="S17:S18">
    <cfRule type="expression" dxfId="2" priority="5260">
      <formula>S17="病"</formula>
    </cfRule>
    <cfRule type="expression" dxfId="3" priority="5259">
      <formula>S17="事"</formula>
    </cfRule>
    <cfRule type="expression" dxfId="4" priority="5258">
      <formula>S17="年"</formula>
    </cfRule>
    <cfRule type="expression" dxfId="5" priority="5257">
      <formula>S17="探"</formula>
    </cfRule>
  </conditionalFormatting>
  <conditionalFormatting sqref="S62:S63">
    <cfRule type="expression" dxfId="5" priority="4773">
      <formula>S62="探"</formula>
    </cfRule>
    <cfRule type="expression" dxfId="4" priority="4774">
      <formula>S62="年"</formula>
    </cfRule>
    <cfRule type="expression" dxfId="3" priority="4775">
      <formula>S62="事"</formula>
    </cfRule>
    <cfRule type="expression" dxfId="2" priority="4776">
      <formula>S62="病"</formula>
    </cfRule>
  </conditionalFormatting>
  <conditionalFormatting sqref="S79:S80">
    <cfRule type="expression" dxfId="5" priority="8617">
      <formula>S79="探"</formula>
    </cfRule>
    <cfRule type="expression" dxfId="4" priority="8618">
      <formula>S79="年"</formula>
    </cfRule>
    <cfRule type="expression" dxfId="3" priority="8619">
      <formula>S79="事"</formula>
    </cfRule>
    <cfRule type="expression" dxfId="2" priority="8620">
      <formula>S79="病"</formula>
    </cfRule>
  </conditionalFormatting>
  <conditionalFormatting sqref="T62:T63">
    <cfRule type="expression" dxfId="5" priority="4769">
      <formula>T62="探"</formula>
    </cfRule>
    <cfRule type="expression" dxfId="4" priority="4770">
      <formula>T62="年"</formula>
    </cfRule>
    <cfRule type="expression" dxfId="3" priority="4771">
      <formula>T62="事"</formula>
    </cfRule>
    <cfRule type="expression" dxfId="2" priority="4772">
      <formula>T62="病"</formula>
    </cfRule>
  </conditionalFormatting>
  <conditionalFormatting sqref="U60:U61">
    <cfRule type="expression" dxfId="5" priority="4141">
      <formula>U60="探"</formula>
    </cfRule>
    <cfRule type="expression" dxfId="4" priority="4142">
      <formula>U60="年"</formula>
    </cfRule>
    <cfRule type="expression" dxfId="3" priority="4143">
      <formula>U60="事"</formula>
    </cfRule>
    <cfRule type="expression" dxfId="2" priority="4144">
      <formula>U60="病"</formula>
    </cfRule>
  </conditionalFormatting>
  <conditionalFormatting sqref="V60:V61">
    <cfRule type="expression" dxfId="5" priority="4133">
      <formula>V60="探"</formula>
    </cfRule>
    <cfRule type="expression" dxfId="4" priority="4134">
      <formula>V60="年"</formula>
    </cfRule>
    <cfRule type="expression" dxfId="3" priority="4135">
      <formula>V60="事"</formula>
    </cfRule>
    <cfRule type="expression" dxfId="2" priority="4136">
      <formula>V60="病"</formula>
    </cfRule>
  </conditionalFormatting>
  <conditionalFormatting sqref="V67:V68">
    <cfRule type="expression" dxfId="5" priority="8397">
      <formula>V67="探"</formula>
    </cfRule>
    <cfRule type="expression" dxfId="4" priority="8398">
      <formula>V67="年"</formula>
    </cfRule>
    <cfRule type="expression" dxfId="3" priority="8399">
      <formula>V67="事"</formula>
    </cfRule>
    <cfRule type="expression" dxfId="2" priority="8400">
      <formula>V67="病"</formula>
    </cfRule>
  </conditionalFormatting>
  <conditionalFormatting sqref="W60:W61">
    <cfRule type="expression" dxfId="5" priority="4137">
      <formula>W60="探"</formula>
    </cfRule>
    <cfRule type="expression" dxfId="4" priority="4138">
      <formula>W60="年"</formula>
    </cfRule>
    <cfRule type="expression" dxfId="3" priority="4139">
      <formula>W60="事"</formula>
    </cfRule>
    <cfRule type="expression" dxfId="2" priority="4140">
      <formula>W60="病"</formula>
    </cfRule>
  </conditionalFormatting>
  <conditionalFormatting sqref="W66:W68">
    <cfRule type="expression" dxfId="5" priority="4029">
      <formula>W66="探"</formula>
    </cfRule>
    <cfRule type="expression" dxfId="4" priority="4030">
      <formula>W66="年"</formula>
    </cfRule>
    <cfRule type="expression" dxfId="3" priority="4031">
      <formula>W66="事"</formula>
    </cfRule>
    <cfRule type="expression" dxfId="2" priority="4032">
      <formula>W66="病"</formula>
    </cfRule>
  </conditionalFormatting>
  <conditionalFormatting sqref="X60:X61">
    <cfRule type="expression" dxfId="5" priority="4129">
      <formula>X60="探"</formula>
    </cfRule>
    <cfRule type="expression" dxfId="4" priority="4130">
      <formula>X60="年"</formula>
    </cfRule>
    <cfRule type="expression" dxfId="3" priority="4131">
      <formula>X60="事"</formula>
    </cfRule>
    <cfRule type="expression" dxfId="2" priority="4132">
      <formula>X60="病"</formula>
    </cfRule>
  </conditionalFormatting>
  <conditionalFormatting sqref="X66:X68">
    <cfRule type="expression" dxfId="5" priority="4025">
      <formula>X66="探"</formula>
    </cfRule>
    <cfRule type="expression" dxfId="4" priority="4026">
      <formula>X66="年"</formula>
    </cfRule>
    <cfRule type="expression" dxfId="3" priority="4027">
      <formula>X66="事"</formula>
    </cfRule>
    <cfRule type="expression" dxfId="2" priority="4028">
      <formula>X66="病"</formula>
    </cfRule>
  </conditionalFormatting>
  <conditionalFormatting sqref="X76:X77">
    <cfRule type="expression" dxfId="5" priority="3969">
      <formula>X76="探"</formula>
    </cfRule>
    <cfRule type="expression" dxfId="4" priority="3970">
      <formula>X76="年"</formula>
    </cfRule>
    <cfRule type="expression" dxfId="3" priority="3971">
      <formula>X76="事"</formula>
    </cfRule>
    <cfRule type="expression" dxfId="2" priority="3972">
      <formula>X76="病"</formula>
    </cfRule>
  </conditionalFormatting>
  <conditionalFormatting sqref="Y17:Y19">
    <cfRule type="expression" dxfId="2" priority="2916">
      <formula>Y17="病"</formula>
    </cfRule>
    <cfRule type="expression" dxfId="3" priority="2915">
      <formula>Y17="事"</formula>
    </cfRule>
    <cfRule type="expression" dxfId="4" priority="2914">
      <formula>Y17="年"</formula>
    </cfRule>
    <cfRule type="expression" dxfId="5" priority="2913">
      <formula>Y17="探"</formula>
    </cfRule>
  </conditionalFormatting>
  <conditionalFormatting sqref="Z17:Z18">
    <cfRule type="expression" dxfId="2" priority="2920">
      <formula>Z17="病"</formula>
    </cfRule>
    <cfRule type="expression" dxfId="3" priority="2919">
      <formula>Z17="事"</formula>
    </cfRule>
    <cfRule type="expression" dxfId="4" priority="2918">
      <formula>Z17="年"</formula>
    </cfRule>
    <cfRule type="expression" dxfId="5" priority="2917">
      <formula>Z17="探"</formula>
    </cfRule>
  </conditionalFormatting>
  <conditionalFormatting sqref="Z53:Z54">
    <cfRule type="expression" dxfId="5" priority="2513">
      <formula>Z53="探"</formula>
    </cfRule>
    <cfRule type="expression" dxfId="4" priority="2514">
      <formula>Z53="年"</formula>
    </cfRule>
    <cfRule type="expression" dxfId="3" priority="2515">
      <formula>Z53="事"</formula>
    </cfRule>
    <cfRule type="expression" dxfId="2" priority="2516">
      <formula>Z53="病"</formula>
    </cfRule>
  </conditionalFormatting>
  <conditionalFormatting sqref="Z78:Z79">
    <cfRule type="expression" dxfId="2" priority="1708">
      <formula>Z78="病"</formula>
    </cfRule>
    <cfRule type="expression" dxfId="3" priority="1707">
      <formula>Z78="事"</formula>
    </cfRule>
    <cfRule type="expression" dxfId="4" priority="1706">
      <formula>Z78="年"</formula>
    </cfRule>
    <cfRule type="expression" dxfId="5" priority="1705">
      <formula>Z78="探"</formula>
    </cfRule>
  </conditionalFormatting>
  <conditionalFormatting sqref="Z104:Z105">
    <cfRule type="expression" dxfId="5" priority="7457">
      <formula>Z104="探"</formula>
    </cfRule>
    <cfRule type="expression" dxfId="4" priority="7458">
      <formula>Z104="年"</formula>
    </cfRule>
    <cfRule type="expression" dxfId="3" priority="7459">
      <formula>Z104="事"</formula>
    </cfRule>
    <cfRule type="expression" dxfId="2" priority="7460">
      <formula>Z104="病"</formula>
    </cfRule>
  </conditionalFormatting>
  <conditionalFormatting sqref="AA17:AA18">
    <cfRule type="expression" dxfId="2" priority="2924">
      <formula>AA17="病"</formula>
    </cfRule>
    <cfRule type="expression" dxfId="3" priority="2923">
      <formula>AA17="事"</formula>
    </cfRule>
    <cfRule type="expression" dxfId="4" priority="2922">
      <formula>AA17="年"</formula>
    </cfRule>
    <cfRule type="expression" dxfId="5" priority="2921">
      <formula>AA17="探"</formula>
    </cfRule>
  </conditionalFormatting>
  <conditionalFormatting sqref="AA53:AA54">
    <cfRule type="expression" dxfId="5" priority="2517">
      <formula>AA53="探"</formula>
    </cfRule>
    <cfRule type="expression" dxfId="4" priority="2518">
      <formula>AA53="年"</formula>
    </cfRule>
    <cfRule type="expression" dxfId="3" priority="2519">
      <formula>AA53="事"</formula>
    </cfRule>
    <cfRule type="expression" dxfId="2" priority="2520">
      <formula>AA53="病"</formula>
    </cfRule>
  </conditionalFormatting>
  <conditionalFormatting sqref="AA78:AA79">
    <cfRule type="expression" dxfId="2" priority="1712">
      <formula>AA78="病"</formula>
    </cfRule>
    <cfRule type="expression" dxfId="3" priority="1711">
      <formula>AA78="事"</formula>
    </cfRule>
    <cfRule type="expression" dxfId="4" priority="1710">
      <formula>AA78="年"</formula>
    </cfRule>
    <cfRule type="expression" dxfId="5" priority="1709">
      <formula>AA78="探"</formula>
    </cfRule>
  </conditionalFormatting>
  <conditionalFormatting sqref="AA104:AA105">
    <cfRule type="expression" dxfId="2" priority="1512">
      <formula>AA104="病"</formula>
    </cfRule>
    <cfRule type="expression" dxfId="3" priority="1511">
      <formula>AA104="事"</formula>
    </cfRule>
    <cfRule type="expression" dxfId="4" priority="1510">
      <formula>AA104="年"</formula>
    </cfRule>
    <cfRule type="expression" dxfId="5" priority="1509">
      <formula>AA104="探"</formula>
    </cfRule>
  </conditionalFormatting>
  <conditionalFormatting sqref="AB53:AB54">
    <cfRule type="expression" dxfId="5" priority="2509">
      <formula>AB53="探"</formula>
    </cfRule>
    <cfRule type="expression" dxfId="4" priority="2510">
      <formula>AB53="年"</formula>
    </cfRule>
    <cfRule type="expression" dxfId="3" priority="2511">
      <formula>AB53="事"</formula>
    </cfRule>
    <cfRule type="expression" dxfId="2" priority="2512">
      <formula>AB53="病"</formula>
    </cfRule>
  </conditionalFormatting>
  <conditionalFormatting sqref="AB78:AB79">
    <cfRule type="expression" dxfId="2" priority="1716">
      <formula>AB78="病"</formula>
    </cfRule>
    <cfRule type="expression" dxfId="3" priority="1715">
      <formula>AB78="事"</formula>
    </cfRule>
    <cfRule type="expression" dxfId="4" priority="1714">
      <formula>AB78="年"</formula>
    </cfRule>
    <cfRule type="expression" dxfId="5" priority="1713">
      <formula>AB78="探"</formula>
    </cfRule>
  </conditionalFormatting>
  <conditionalFormatting sqref="AC78:AC79">
    <cfRule type="expression" dxfId="2" priority="1696">
      <formula>AC78="病"</formula>
    </cfRule>
    <cfRule type="expression" dxfId="3" priority="1695">
      <formula>AC78="事"</formula>
    </cfRule>
    <cfRule type="expression" dxfId="4" priority="1694">
      <formula>AC78="年"</formula>
    </cfRule>
    <cfRule type="expression" dxfId="5" priority="1693">
      <formula>AC78="探"</formula>
    </cfRule>
  </conditionalFormatting>
  <conditionalFormatting sqref="AD17:AD18">
    <cfRule type="expression" dxfId="2" priority="2912">
      <formula>AD17="病"</formula>
    </cfRule>
    <cfRule type="expression" dxfId="3" priority="2911">
      <formula>AD17="事"</formula>
    </cfRule>
    <cfRule type="expression" dxfId="4" priority="2910">
      <formula>AD17="年"</formula>
    </cfRule>
    <cfRule type="expression" dxfId="5" priority="2909">
      <formula>AD17="探"</formula>
    </cfRule>
  </conditionalFormatting>
  <conditionalFormatting sqref="AD78:AD79">
    <cfRule type="expression" dxfId="2" priority="1700">
      <formula>AD78="病"</formula>
    </cfRule>
    <cfRule type="expression" dxfId="3" priority="1699">
      <formula>AD78="事"</formula>
    </cfRule>
    <cfRule type="expression" dxfId="4" priority="1698">
      <formula>AD78="年"</formula>
    </cfRule>
    <cfRule type="expression" dxfId="5" priority="1697">
      <formula>AD78="探"</formula>
    </cfRule>
  </conditionalFormatting>
  <conditionalFormatting sqref="AD104:AD105">
    <cfRule type="expression" dxfId="2" priority="1516">
      <formula>AD104="病"</formula>
    </cfRule>
    <cfRule type="expression" dxfId="3" priority="1515">
      <formula>AD104="事"</formula>
    </cfRule>
    <cfRule type="expression" dxfId="4" priority="1514">
      <formula>AD104="年"</formula>
    </cfRule>
    <cfRule type="expression" dxfId="5" priority="1513">
      <formula>AD104="探"</formula>
    </cfRule>
  </conditionalFormatting>
  <conditionalFormatting sqref="AE36:AE37">
    <cfRule type="expression" dxfId="5" priority="8253">
      <formula>AE36="探"</formula>
    </cfRule>
    <cfRule type="expression" dxfId="4" priority="8254">
      <formula>AE36="年"</formula>
    </cfRule>
    <cfRule type="expression" dxfId="3" priority="8255">
      <formula>AE36="事"</formula>
    </cfRule>
    <cfRule type="expression" dxfId="2" priority="8256">
      <formula>AE36="病"</formula>
    </cfRule>
  </conditionalFormatting>
  <conditionalFormatting sqref="AE78:AE79">
    <cfRule type="expression" dxfId="2" priority="1704">
      <formula>AE78="病"</formula>
    </cfRule>
    <cfRule type="expression" dxfId="3" priority="1703">
      <formula>AE78="事"</formula>
    </cfRule>
    <cfRule type="expression" dxfId="4" priority="1702">
      <formula>AE78="年"</formula>
    </cfRule>
    <cfRule type="expression" dxfId="5" priority="1701">
      <formula>AE78="探"</formula>
    </cfRule>
  </conditionalFormatting>
  <conditionalFormatting sqref="AE104:AE105">
    <cfRule type="expression" dxfId="2" priority="1500">
      <formula>AE104="病"</formula>
    </cfRule>
    <cfRule type="expression" dxfId="3" priority="1499">
      <formula>AE104="事"</formula>
    </cfRule>
    <cfRule type="expression" dxfId="4" priority="1498">
      <formula>AE104="年"</formula>
    </cfRule>
    <cfRule type="expression" dxfId="5" priority="1497">
      <formula>AE104="探"</formula>
    </cfRule>
  </conditionalFormatting>
  <conditionalFormatting sqref="AF110:AF111">
    <cfRule type="expression" dxfId="2" priority="388">
      <formula>AF110="病"</formula>
    </cfRule>
    <cfRule type="expression" dxfId="3" priority="387">
      <formula>AF110="事"</formula>
    </cfRule>
    <cfRule type="expression" dxfId="4" priority="386">
      <formula>AF110="年"</formula>
    </cfRule>
    <cfRule type="expression" dxfId="5" priority="385">
      <formula>AF110="探"</formula>
    </cfRule>
  </conditionalFormatting>
  <conditionalFormatting sqref="AH104:AH105">
    <cfRule type="expression" dxfId="2" priority="1504">
      <formula>AH104="病"</formula>
    </cfRule>
    <cfRule type="expression" dxfId="3" priority="1503">
      <formula>AH104="事"</formula>
    </cfRule>
    <cfRule type="expression" dxfId="4" priority="1502">
      <formula>AH104="年"</formula>
    </cfRule>
    <cfRule type="expression" dxfId="5" priority="1501">
      <formula>AH104="探"</formula>
    </cfRule>
  </conditionalFormatting>
  <conditionalFormatting sqref="AI104:AI105">
    <cfRule type="expression" dxfId="2" priority="424">
      <formula>AI104="病"</formula>
    </cfRule>
    <cfRule type="expression" dxfId="3" priority="423">
      <formula>AI104="事"</formula>
    </cfRule>
    <cfRule type="expression" dxfId="4" priority="422">
      <formula>AI104="年"</formula>
    </cfRule>
    <cfRule type="expression" dxfId="5" priority="421">
      <formula>AI104="探"</formula>
    </cfRule>
  </conditionalFormatting>
  <conditionalFormatting sqref="AK50:AK51">
    <cfRule type="expression" dxfId="5" priority="7017">
      <formula>AK50="探"</formula>
    </cfRule>
    <cfRule type="expression" dxfId="4" priority="7018">
      <formula>AK50="年"</formula>
    </cfRule>
    <cfRule type="expression" dxfId="3" priority="7019">
      <formula>AK50="事"</formula>
    </cfRule>
    <cfRule type="expression" dxfId="2" priority="7020">
      <formula>AK50="病"</formula>
    </cfRule>
  </conditionalFormatting>
  <conditionalFormatting sqref="AK128:AK129">
    <cfRule type="expression" dxfId="2" priority="144">
      <formula>AK128="病"</formula>
    </cfRule>
    <cfRule type="expression" dxfId="3" priority="143">
      <formula>AK128="事"</formula>
    </cfRule>
    <cfRule type="expression" dxfId="4" priority="142">
      <formula>AK128="年"</formula>
    </cfRule>
    <cfRule type="expression" dxfId="5" priority="141">
      <formula>AK128="探"</formula>
    </cfRule>
  </conditionalFormatting>
  <conditionalFormatting sqref="AL13:AL22">
    <cfRule type="expression" dxfId="5" priority="14547">
      <formula>AL13="探"</formula>
    </cfRule>
    <cfRule type="expression" dxfId="4" priority="14548">
      <formula>AL13="年"</formula>
    </cfRule>
    <cfRule type="expression" dxfId="3" priority="14549">
      <formula>AL13="事"</formula>
    </cfRule>
    <cfRule type="expression" dxfId="2" priority="14550">
      <formula>AL13="病"</formula>
    </cfRule>
  </conditionalFormatting>
  <conditionalFormatting sqref="AL28:AL29">
    <cfRule type="expression" dxfId="5" priority="14423">
      <formula>AL28="探"</formula>
    </cfRule>
    <cfRule type="expression" dxfId="4" priority="14424">
      <formula>AL28="年"</formula>
    </cfRule>
    <cfRule type="expression" dxfId="3" priority="14425">
      <formula>AL28="事"</formula>
    </cfRule>
    <cfRule type="expression" dxfId="2" priority="14426">
      <formula>AL28="病"</formula>
    </cfRule>
  </conditionalFormatting>
  <conditionalFormatting sqref="AL30:AL35">
    <cfRule type="expression" dxfId="2" priority="1048">
      <formula>AL30="病"</formula>
    </cfRule>
    <cfRule type="expression" dxfId="3" priority="1047">
      <formula>AL30="事"</formula>
    </cfRule>
    <cfRule type="expression" dxfId="4" priority="1046">
      <formula>AL30="年"</formula>
    </cfRule>
    <cfRule type="expression" dxfId="5" priority="1045">
      <formula>AL30="探"</formula>
    </cfRule>
  </conditionalFormatting>
  <conditionalFormatting sqref="AL41:AL50">
    <cfRule type="expression" dxfId="5" priority="14359">
      <formula>AL41="探"</formula>
    </cfRule>
    <cfRule type="expression" dxfId="4" priority="14360">
      <formula>AL41="年"</formula>
    </cfRule>
    <cfRule type="expression" dxfId="3" priority="14361">
      <formula>AL41="事"</formula>
    </cfRule>
    <cfRule type="expression" dxfId="2" priority="14362">
      <formula>AL41="病"</formula>
    </cfRule>
  </conditionalFormatting>
  <conditionalFormatting sqref="AL59:AL61">
    <cfRule type="expression" dxfId="2" priority="728">
      <formula>AL59="病"</formula>
    </cfRule>
    <cfRule type="expression" dxfId="3" priority="727">
      <formula>AL59="事"</formula>
    </cfRule>
    <cfRule type="expression" dxfId="4" priority="726">
      <formula>AL59="年"</formula>
    </cfRule>
    <cfRule type="expression" dxfId="5" priority="725">
      <formula>AL59="探"</formula>
    </cfRule>
  </conditionalFormatting>
  <conditionalFormatting sqref="AL63:AL74">
    <cfRule type="expression" dxfId="2" priority="688">
      <formula>AL63="病"</formula>
    </cfRule>
    <cfRule type="expression" dxfId="3" priority="687">
      <formula>AL63="事"</formula>
    </cfRule>
    <cfRule type="expression" dxfId="4" priority="686">
      <formula>AL63="年"</formula>
    </cfRule>
    <cfRule type="expression" dxfId="5" priority="685">
      <formula>AL63="探"</formula>
    </cfRule>
  </conditionalFormatting>
  <conditionalFormatting sqref="AL109:AL119">
    <cfRule type="expression" dxfId="5" priority="13823">
      <formula>AL109="探"</formula>
    </cfRule>
    <cfRule type="expression" dxfId="4" priority="13824">
      <formula>AL109="年"</formula>
    </cfRule>
    <cfRule type="expression" dxfId="3" priority="13825">
      <formula>AL109="事"</formula>
    </cfRule>
    <cfRule type="expression" dxfId="2" priority="13826">
      <formula>AL109="病"</formula>
    </cfRule>
  </conditionalFormatting>
  <conditionalFormatting sqref="AL120:AL135">
    <cfRule type="expression" dxfId="5" priority="13703">
      <formula>AL120="探"</formula>
    </cfRule>
    <cfRule type="expression" dxfId="4" priority="13704">
      <formula>AL120="年"</formula>
    </cfRule>
    <cfRule type="expression" dxfId="3" priority="13705">
      <formula>AL120="事"</formula>
    </cfRule>
    <cfRule type="expression" dxfId="2" priority="13706">
      <formula>AL120="病"</formula>
    </cfRule>
  </conditionalFormatting>
  <conditionalFormatting sqref="AH6:AK6 G6:AG7 Y96:AE96 G8:AJ8 G9:AK9 G10:AJ12 AD23:AK23 S14 AH16:AK16 R21:S21 AD21 J13 I14:J16 J17 I18:J19 AC22:AC23 I26:J26 I28:X28 X29 AG29:AK29 I31:J31 I32:N32 AK33 K33:L33 K34 Z35:AK35 U23:AB23 I36:J37 I39:J39 X22 G69:K69 I46:J46 S46 I53:J53 I61:J61 AE63:AE64 I49 I50:J50 I51:R51 AF45 AH45 T71:X71 AD73:AJ73 AC74:AE74 I73:J73 T74:Y74 J79:M79 N79:R80 X81:AI81 AI82 AI84:AJ84 AG86:AK86 V89:Y89 AF89:AG89 I90:J90 AI90:AK90 W90:AF90 AI7:AK7 AK73:AK74 AJ81:AK82 K93:M93 K94 X92:Y92 AC92:AK92 AH93:AK93 K95:P95 S95:AI95 K96:O96 AH97:AI97 Z100 I99:K99 N99 P99:Q99 S103:U103 AF103:AG103 J104:L104 I105:J105 K107 T107:AD107 I108:K108 Y109 K112:M112 Y112:AI112 K113:L114 K109:M109 I118:L118 AB118:AD118 J124 I126:J127 AE129 I121:K121 I122 AA131:AD131 K131:L131 K144:L144 Y144:AE144 K134:L134 L135:M135 I100:J100 AK91 AK99 AK113 AK117">
    <cfRule type="expression" dxfId="5" priority="9105">
      <formula>G6="探"</formula>
    </cfRule>
    <cfRule type="expression" dxfId="4" priority="9106">
      <formula>G6="年"</formula>
    </cfRule>
    <cfRule type="expression" dxfId="3" priority="9109">
      <formula>G6="事"</formula>
    </cfRule>
    <cfRule type="expression" dxfId="2" priority="9110">
      <formula>G6="病"</formula>
    </cfRule>
  </conditionalFormatting>
  <conditionalFormatting sqref="AK8 AK10:AK12">
    <cfRule type="expression" dxfId="2" priority="8840">
      <formula>AK8="病"</formula>
    </cfRule>
    <cfRule type="expression" dxfId="3" priority="8839">
      <formula>AK8="事"</formula>
    </cfRule>
    <cfRule type="expression" dxfId="4" priority="8838">
      <formula>AK8="年"</formula>
    </cfRule>
    <cfRule type="expression" dxfId="5" priority="8837">
      <formula>AK8="探"</formula>
    </cfRule>
  </conditionalFormatting>
  <conditionalFormatting sqref="G14:H16 G18:H19 J21 G22:J23 G26:H26 G28:H28 G31:H32 G34 G36:H37 G39:H39 O22:W22 K37 K39 G70:S70 U70:V70 G43:J43 G45 G46:H47 I47:J47 G53:H53 G56:J56 J57 G59:J59 G61:H61 G64:J64 G49:H51 G52:J52 J49 K61 G74:I75 G71:K71 G72:H73 G78:H78 G79:I80 J80:M80 J75 J78 G90:H90 G95:J95 G99:H99 G103 G105:H105 G108:H108 G115:N115 G121:H122 G126:H127 G129:J129 G131:G132 G117:L117 G118:H118 G136:U136 G144:J144 H132:U132 K135">
    <cfRule type="expression" dxfId="5" priority="9097">
      <formula>G14="探"</formula>
    </cfRule>
    <cfRule type="expression" dxfId="4" priority="9098">
      <formula>G14="年"</formula>
    </cfRule>
    <cfRule type="expression" dxfId="3" priority="9099">
      <formula>G14="事"</formula>
    </cfRule>
    <cfRule type="expression" dxfId="2" priority="9100">
      <formula>G14="病"</formula>
    </cfRule>
  </conditionalFormatting>
  <conditionalFormatting sqref="L17:M18">
    <cfRule type="expression" dxfId="2" priority="6108">
      <formula>L17="病"</formula>
    </cfRule>
    <cfRule type="expression" dxfId="3" priority="6107">
      <formula>L17="事"</formula>
    </cfRule>
    <cfRule type="expression" dxfId="4" priority="6106">
      <formula>L17="年"</formula>
    </cfRule>
    <cfRule type="expression" dxfId="5" priority="6105">
      <formula>L17="探"</formula>
    </cfRule>
  </conditionalFormatting>
  <conditionalFormatting sqref="P17:Q18">
    <cfRule type="expression" dxfId="2" priority="5252">
      <formula>P17="病"</formula>
    </cfRule>
    <cfRule type="expression" dxfId="3" priority="5251">
      <formula>P17="事"</formula>
    </cfRule>
    <cfRule type="expression" dxfId="4" priority="5250">
      <formula>P17="年"</formula>
    </cfRule>
    <cfRule type="expression" dxfId="5" priority="5249">
      <formula>P17="探"</formula>
    </cfRule>
  </conditionalFormatting>
  <conditionalFormatting sqref="AB17:AC18">
    <cfRule type="expression" dxfId="2" priority="2908">
      <formula>AB17="病"</formula>
    </cfRule>
    <cfRule type="expression" dxfId="3" priority="2907">
      <formula>AB17="事"</formula>
    </cfRule>
    <cfRule type="expression" dxfId="4" priority="2906">
      <formula>AB17="年"</formula>
    </cfRule>
    <cfRule type="expression" dxfId="5" priority="2905">
      <formula>AB17="探"</formula>
    </cfRule>
  </conditionalFormatting>
  <conditionalFormatting sqref="AK22 AF22">
    <cfRule type="expression" dxfId="2" priority="1152">
      <formula>AF22="病"</formula>
    </cfRule>
    <cfRule type="expression" dxfId="3" priority="1151">
      <formula>AF22="事"</formula>
    </cfRule>
    <cfRule type="expression" dxfId="4" priority="1150">
      <formula>AF22="年"</formula>
    </cfRule>
    <cfRule type="expression" dxfId="5" priority="1149">
      <formula>AF22="探"</formula>
    </cfRule>
  </conditionalFormatting>
  <conditionalFormatting sqref="Y36:Z37 Y39:Z39">
    <cfRule type="expression" dxfId="5" priority="8261">
      <formula>Y36="探"</formula>
    </cfRule>
    <cfRule type="expression" dxfId="4" priority="8262">
      <formula>Y36="年"</formula>
    </cfRule>
    <cfRule type="expression" dxfId="3" priority="8263">
      <formula>Y36="事"</formula>
    </cfRule>
    <cfRule type="expression" dxfId="2" priority="8264">
      <formula>Y36="病"</formula>
    </cfRule>
  </conditionalFormatting>
  <conditionalFormatting sqref="AI36:AK36 AK39">
    <cfRule type="expression" dxfId="5" priority="7145">
      <formula>AI36="探"</formula>
    </cfRule>
    <cfRule type="expression" dxfId="4" priority="7146">
      <formula>AI36="年"</formula>
    </cfRule>
    <cfRule type="expression" dxfId="3" priority="7147">
      <formula>AI36="事"</formula>
    </cfRule>
    <cfRule type="expression" dxfId="2" priority="7148">
      <formula>AI36="病"</formula>
    </cfRule>
  </conditionalFormatting>
  <conditionalFormatting sqref="U37:V37 U39:V39">
    <cfRule type="expression" dxfId="5" priority="4357">
      <formula>U37="探"</formula>
    </cfRule>
    <cfRule type="expression" dxfId="4" priority="4358">
      <formula>U37="年"</formula>
    </cfRule>
    <cfRule type="expression" dxfId="3" priority="4359">
      <formula>U37="事"</formula>
    </cfRule>
    <cfRule type="expression" dxfId="2" priority="4360">
      <formula>U37="病"</formula>
    </cfRule>
  </conditionalFormatting>
  <conditionalFormatting sqref="W37 W39">
    <cfRule type="expression" dxfId="5" priority="4353">
      <formula>W37="探"</formula>
    </cfRule>
    <cfRule type="expression" dxfId="4" priority="4354">
      <formula>W37="年"</formula>
    </cfRule>
    <cfRule type="expression" dxfId="3" priority="4355">
      <formula>W37="事"</formula>
    </cfRule>
    <cfRule type="expression" dxfId="2" priority="4356">
      <formula>W37="病"</formula>
    </cfRule>
  </conditionalFormatting>
  <conditionalFormatting sqref="X37 X39">
    <cfRule type="expression" dxfId="5" priority="8429">
      <formula>X37="探"</formula>
    </cfRule>
    <cfRule type="expression" dxfId="4" priority="8430">
      <formula>X37="年"</formula>
    </cfRule>
    <cfRule type="expression" dxfId="3" priority="8431">
      <formula>X37="事"</formula>
    </cfRule>
    <cfRule type="expression" dxfId="2" priority="8432">
      <formula>X37="病"</formula>
    </cfRule>
  </conditionalFormatting>
  <conditionalFormatting sqref="AA37 AA39">
    <cfRule type="expression" dxfId="5" priority="2713">
      <formula>AA37="探"</formula>
    </cfRule>
    <cfRule type="expression" dxfId="4" priority="2714">
      <formula>AA37="年"</formula>
    </cfRule>
    <cfRule type="expression" dxfId="3" priority="2715">
      <formula>AA37="事"</formula>
    </cfRule>
    <cfRule type="expression" dxfId="2" priority="2716">
      <formula>AA37="病"</formula>
    </cfRule>
  </conditionalFormatting>
  <conditionalFormatting sqref="AB37:AC37 AB39:AC39">
    <cfRule type="expression" dxfId="5" priority="2709">
      <formula>AB37="探"</formula>
    </cfRule>
    <cfRule type="expression" dxfId="4" priority="2710">
      <formula>AB37="年"</formula>
    </cfRule>
    <cfRule type="expression" dxfId="3" priority="2711">
      <formula>AB37="事"</formula>
    </cfRule>
    <cfRule type="expression" dxfId="2" priority="2712">
      <formula>AB37="病"</formula>
    </cfRule>
  </conditionalFormatting>
  <conditionalFormatting sqref="AD37 AD39">
    <cfRule type="expression" dxfId="5" priority="2705">
      <formula>AD37="探"</formula>
    </cfRule>
    <cfRule type="expression" dxfId="4" priority="2706">
      <formula>AD37="年"</formula>
    </cfRule>
    <cfRule type="expression" dxfId="3" priority="2707">
      <formula>AD37="事"</formula>
    </cfRule>
    <cfRule type="expression" dxfId="2" priority="2708">
      <formula>AD37="病"</formula>
    </cfRule>
  </conditionalFormatting>
  <conditionalFormatting sqref="G41 G62:G63 G44:J44 S44 K62:K63 S45:T45 Y83 AG83:AK83 K84:L84 G97:J98 G101:X101 G111:AA111 H100 N100 G119:R119 K138:S138 G139:V140 G137:N137 X139:X140">
    <cfRule type="expression" dxfId="5" priority="9093">
      <formula>G41="探"</formula>
    </cfRule>
    <cfRule type="expression" dxfId="4" priority="9094">
      <formula>G41="年"</formula>
    </cfRule>
    <cfRule type="expression" dxfId="3" priority="9095">
      <formula>G41="事"</formula>
    </cfRule>
    <cfRule type="expression" dxfId="2" priority="9096">
      <formula>G41="病"</formula>
    </cfRule>
  </conditionalFormatting>
  <conditionalFormatting sqref="AE41:AE42 AG42">
    <cfRule type="expression" dxfId="5" priority="8245">
      <formula>AE41="探"</formula>
    </cfRule>
    <cfRule type="expression" dxfId="4" priority="8246">
      <formula>AE41="年"</formula>
    </cfRule>
    <cfRule type="expression" dxfId="3" priority="8247">
      <formula>AE41="事"</formula>
    </cfRule>
    <cfRule type="expression" dxfId="2" priority="8248">
      <formula>AE41="病"</formula>
    </cfRule>
  </conditionalFormatting>
  <conditionalFormatting sqref="AF41:AF42 AH42">
    <cfRule type="expression" dxfId="5" priority="7125">
      <formula>AF41="探"</formula>
    </cfRule>
    <cfRule type="expression" dxfId="4" priority="7126">
      <formula>AF41="年"</formula>
    </cfRule>
    <cfRule type="expression" dxfId="3" priority="7127">
      <formula>AF41="事"</formula>
    </cfRule>
    <cfRule type="expression" dxfId="2" priority="7128">
      <formula>AF41="病"</formula>
    </cfRule>
  </conditionalFormatting>
  <conditionalFormatting sqref="K44:L45">
    <cfRule type="expression" dxfId="5" priority="5885">
      <formula>K44="探"</formula>
    </cfRule>
    <cfRule type="expression" dxfId="4" priority="5886">
      <formula>K44="年"</formula>
    </cfRule>
    <cfRule type="expression" dxfId="3" priority="5887">
      <formula>K44="事"</formula>
    </cfRule>
    <cfRule type="expression" dxfId="2" priority="5888">
      <formula>K44="病"</formula>
    </cfRule>
  </conditionalFormatting>
  <conditionalFormatting sqref="M44:R45">
    <cfRule type="expression" dxfId="5" priority="5889">
      <formula>M44="探"</formula>
    </cfRule>
    <cfRule type="expression" dxfId="4" priority="5890">
      <formula>M44="年"</formula>
    </cfRule>
    <cfRule type="expression" dxfId="3" priority="5891">
      <formula>M44="事"</formula>
    </cfRule>
    <cfRule type="expression" dxfId="2" priority="5892">
      <formula>M44="病"</formula>
    </cfRule>
  </conditionalFormatting>
  <conditionalFormatting sqref="T44:X44 U45:X45">
    <cfRule type="expression" dxfId="5" priority="4313">
      <formula>T44="探"</formula>
    </cfRule>
    <cfRule type="expression" dxfId="4" priority="4314">
      <formula>T44="年"</formula>
    </cfRule>
    <cfRule type="expression" dxfId="3" priority="4315">
      <formula>T44="事"</formula>
    </cfRule>
    <cfRule type="expression" dxfId="2" priority="4316">
      <formula>T44="病"</formula>
    </cfRule>
  </conditionalFormatting>
  <conditionalFormatting sqref="Y44:AD45">
    <cfRule type="expression" dxfId="5" priority="8241">
      <formula>Y44="探"</formula>
    </cfRule>
    <cfRule type="expression" dxfId="4" priority="8242">
      <formula>Y44="年"</formula>
    </cfRule>
    <cfRule type="expression" dxfId="3" priority="8243">
      <formula>Y44="事"</formula>
    </cfRule>
    <cfRule type="expression" dxfId="2" priority="8244">
      <formula>Y44="病"</formula>
    </cfRule>
  </conditionalFormatting>
  <conditionalFormatting sqref="AE45 AG45">
    <cfRule type="expression" dxfId="5" priority="8237">
      <formula>AE45="探"</formula>
    </cfRule>
    <cfRule type="expression" dxfId="4" priority="8238">
      <formula>AE45="年"</formula>
    </cfRule>
    <cfRule type="expression" dxfId="3" priority="8239">
      <formula>AE45="事"</formula>
    </cfRule>
    <cfRule type="expression" dxfId="2" priority="8240">
      <formula>AE45="病"</formula>
    </cfRule>
  </conditionalFormatting>
  <conditionalFormatting sqref="AJ50 AH51:AJ51">
    <cfRule type="expression" dxfId="5" priority="7021">
      <formula>AH50="探"</formula>
    </cfRule>
    <cfRule type="expression" dxfId="4" priority="7022">
      <formula>AH50="年"</formula>
    </cfRule>
    <cfRule type="expression" dxfId="3" priority="7023">
      <formula>AH50="事"</formula>
    </cfRule>
    <cfRule type="expression" dxfId="2" priority="7024">
      <formula>AH50="病"</formula>
    </cfRule>
  </conditionalFormatting>
  <conditionalFormatting sqref="G60:H60 O60">
    <cfRule type="expression" dxfId="5" priority="8981">
      <formula>G60="探"</formula>
    </cfRule>
    <cfRule type="expression" dxfId="4" priority="8982">
      <formula>G60="年"</formula>
    </cfRule>
    <cfRule type="expression" dxfId="3" priority="8983">
      <formula>G60="事"</formula>
    </cfRule>
    <cfRule type="expression" dxfId="2" priority="8984">
      <formula>G60="病"</formula>
    </cfRule>
  </conditionalFormatting>
  <conditionalFormatting sqref="K60:L60 L61">
    <cfRule type="expression" dxfId="5" priority="5737">
      <formula>K60="探"</formula>
    </cfRule>
    <cfRule type="expression" dxfId="4" priority="5738">
      <formula>K60="年"</formula>
    </cfRule>
    <cfRule type="expression" dxfId="3" priority="5739">
      <formula>K60="事"</formula>
    </cfRule>
    <cfRule type="expression" dxfId="2" priority="5740">
      <formula>K60="病"</formula>
    </cfRule>
  </conditionalFormatting>
  <conditionalFormatting sqref="M60:N61">
    <cfRule type="expression" dxfId="5" priority="5733">
      <formula>M60="探"</formula>
    </cfRule>
    <cfRule type="expression" dxfId="4" priority="5734">
      <formula>M60="年"</formula>
    </cfRule>
    <cfRule type="expression" dxfId="3" priority="5735">
      <formula>M60="事"</formula>
    </cfRule>
    <cfRule type="expression" dxfId="2" priority="5736">
      <formula>M60="病"</formula>
    </cfRule>
  </conditionalFormatting>
  <conditionalFormatting sqref="I62:J63">
    <cfRule type="expression" dxfId="5" priority="9101">
      <formula>I62="探"</formula>
    </cfRule>
    <cfRule type="expression" dxfId="4" priority="9102">
      <formula>I62="年"</formula>
    </cfRule>
    <cfRule type="expression" dxfId="3" priority="9103">
      <formula>I62="事"</formula>
    </cfRule>
    <cfRule type="expression" dxfId="2" priority="9104">
      <formula>I62="病"</formula>
    </cfRule>
  </conditionalFormatting>
  <conditionalFormatting sqref="G66:H66 G67:G68">
    <cfRule type="expression" dxfId="5" priority="6269">
      <formula>G66="探"</formula>
    </cfRule>
    <cfRule type="expression" dxfId="4" priority="6270">
      <formula>G66="年"</formula>
    </cfRule>
    <cfRule type="expression" dxfId="3" priority="6271">
      <formula>G66="事"</formula>
    </cfRule>
    <cfRule type="expression" dxfId="2" priority="6272">
      <formula>G66="病"</formula>
    </cfRule>
  </conditionalFormatting>
  <conditionalFormatting sqref="M66:N66 M67">
    <cfRule type="expression" dxfId="5" priority="5689">
      <formula>M66="探"</formula>
    </cfRule>
    <cfRule type="expression" dxfId="4" priority="5690">
      <formula>M66="年"</formula>
    </cfRule>
    <cfRule type="expression" dxfId="3" priority="5691">
      <formula>M66="事"</formula>
    </cfRule>
    <cfRule type="expression" dxfId="2" priority="5692">
      <formula>M66="病"</formula>
    </cfRule>
  </conditionalFormatting>
  <conditionalFormatting sqref="H67:I68">
    <cfRule type="expression" dxfId="5" priority="8973">
      <formula>H67="探"</formula>
    </cfRule>
    <cfRule type="expression" dxfId="4" priority="8974">
      <formula>H67="年"</formula>
    </cfRule>
    <cfRule type="expression" dxfId="3" priority="8975">
      <formula>H67="事"</formula>
    </cfRule>
    <cfRule type="expression" dxfId="2" priority="8976">
      <formula>H67="病"</formula>
    </cfRule>
  </conditionalFormatting>
  <conditionalFormatting sqref="I72:J72 V72">
    <cfRule type="expression" dxfId="5" priority="9081">
      <formula>I72="探"</formula>
    </cfRule>
    <cfRule type="expression" dxfId="4" priority="9082">
      <formula>I72="年"</formula>
    </cfRule>
    <cfRule type="expression" dxfId="3" priority="9083">
      <formula>I72="事"</formula>
    </cfRule>
    <cfRule type="expression" dxfId="2" priority="9084">
      <formula>I72="病"</formula>
    </cfRule>
  </conditionalFormatting>
  <conditionalFormatting sqref="G77:H77 J77:K77">
    <cfRule type="expression" dxfId="5" priority="8829">
      <formula>G77="探"</formula>
    </cfRule>
    <cfRule type="expression" dxfId="4" priority="8830">
      <formula>G77="年"</formula>
    </cfRule>
    <cfRule type="expression" dxfId="3" priority="8831">
      <formula>G77="事"</formula>
    </cfRule>
    <cfRule type="expression" dxfId="2" priority="8832">
      <formula>G77="病"</formula>
    </cfRule>
  </conditionalFormatting>
  <conditionalFormatting sqref="M77:N77 Y77">
    <cfRule type="expression" dxfId="5" priority="5617">
      <formula>M77="探"</formula>
    </cfRule>
    <cfRule type="expression" dxfId="4" priority="5618">
      <formula>M77="年"</formula>
    </cfRule>
    <cfRule type="expression" dxfId="3" priority="5619">
      <formula>M77="事"</formula>
    </cfRule>
    <cfRule type="expression" dxfId="2" priority="5620">
      <formula>M77="病"</formula>
    </cfRule>
  </conditionalFormatting>
  <conditionalFormatting sqref="O77 Z77">
    <cfRule type="expression" dxfId="5" priority="3953">
      <formula>O77="探"</formula>
    </cfRule>
    <cfRule type="expression" dxfId="4" priority="3954">
      <formula>O77="年"</formula>
    </cfRule>
    <cfRule type="expression" dxfId="3" priority="3955">
      <formula>O77="事"</formula>
    </cfRule>
    <cfRule type="expression" dxfId="2" priority="3956">
      <formula>O77="病"</formula>
    </cfRule>
  </conditionalFormatting>
  <conditionalFormatting sqref="P77:Q77 AA77:AB77">
    <cfRule type="expression" dxfId="5" priority="3957">
      <formula>P77="探"</formula>
    </cfRule>
    <cfRule type="expression" dxfId="4" priority="3958">
      <formula>P77="年"</formula>
    </cfRule>
    <cfRule type="expression" dxfId="3" priority="3959">
      <formula>P77="事"</formula>
    </cfRule>
    <cfRule type="expression" dxfId="2" priority="3960">
      <formula>P77="病"</formula>
    </cfRule>
  </conditionalFormatting>
  <conditionalFormatting sqref="R77 AC77">
    <cfRule type="expression" dxfId="5" priority="3945">
      <formula>R77="探"</formula>
    </cfRule>
    <cfRule type="expression" dxfId="4" priority="3946">
      <formula>R77="年"</formula>
    </cfRule>
    <cfRule type="expression" dxfId="3" priority="3947">
      <formula>R77="事"</formula>
    </cfRule>
    <cfRule type="expression" dxfId="2" priority="3948">
      <formula>R77="病"</formula>
    </cfRule>
  </conditionalFormatting>
  <conditionalFormatting sqref="S77:T77 AD77:AE77">
    <cfRule type="expression" dxfId="5" priority="3949">
      <formula>S77="探"</formula>
    </cfRule>
    <cfRule type="expression" dxfId="4" priority="3950">
      <formula>S77="年"</formula>
    </cfRule>
    <cfRule type="expression" dxfId="3" priority="3951">
      <formula>S77="事"</formula>
    </cfRule>
    <cfRule type="expression" dxfId="2" priority="3952">
      <formula>S77="病"</formula>
    </cfRule>
  </conditionalFormatting>
  <conditionalFormatting sqref="U77 AF77:AK77">
    <cfRule type="expression" dxfId="5" priority="3937">
      <formula>U77="探"</formula>
    </cfRule>
    <cfRule type="expression" dxfId="4" priority="3938">
      <formula>U77="年"</formula>
    </cfRule>
    <cfRule type="expression" dxfId="3" priority="3939">
      <formula>U77="事"</formula>
    </cfRule>
    <cfRule type="expression" dxfId="2" priority="3940">
      <formula>U77="病"</formula>
    </cfRule>
  </conditionalFormatting>
  <conditionalFormatting sqref="I78 L78">
    <cfRule type="expression" dxfId="5" priority="8821">
      <formula>I78="探"</formula>
    </cfRule>
    <cfRule type="expression" dxfId="4" priority="8822">
      <formula>I78="年"</formula>
    </cfRule>
    <cfRule type="expression" dxfId="3" priority="8823">
      <formula>I78="事"</formula>
    </cfRule>
    <cfRule type="expression" dxfId="2" priority="8824">
      <formula>I78="病"</formula>
    </cfRule>
  </conditionalFormatting>
  <conditionalFormatting sqref="T79:X80">
    <cfRule type="expression" dxfId="5" priority="3897">
      <formula>T79="探"</formula>
    </cfRule>
    <cfRule type="expression" dxfId="4" priority="3898">
      <formula>T79="年"</formula>
    </cfRule>
    <cfRule type="expression" dxfId="3" priority="3899">
      <formula>T79="事"</formula>
    </cfRule>
    <cfRule type="expression" dxfId="2" priority="3900">
      <formula>T79="病"</formula>
    </cfRule>
  </conditionalFormatting>
  <conditionalFormatting sqref="M82:N82 P82">
    <cfRule type="expression" dxfId="5" priority="8613">
      <formula>M82="探"</formula>
    </cfRule>
    <cfRule type="expression" dxfId="4" priority="8614">
      <formula>M82="年"</formula>
    </cfRule>
    <cfRule type="expression" dxfId="3" priority="8615">
      <formula>M82="事"</formula>
    </cfRule>
    <cfRule type="expression" dxfId="2" priority="8616">
      <formula>M82="病"</formula>
    </cfRule>
  </conditionalFormatting>
  <conditionalFormatting sqref="V84 Y84">
    <cfRule type="expression" dxfId="5" priority="8601">
      <formula>V84="探"</formula>
    </cfRule>
    <cfRule type="expression" dxfId="4" priority="8602">
      <formula>V84="年"</formula>
    </cfRule>
    <cfRule type="expression" dxfId="3" priority="8603">
      <formula>V84="事"</formula>
    </cfRule>
    <cfRule type="expression" dxfId="2" priority="8604">
      <formula>V84="病"</formula>
    </cfRule>
  </conditionalFormatting>
  <conditionalFormatting sqref="Y85:AG85 AJ85:AK85 AE86:AF86">
    <cfRule type="expression" dxfId="5" priority="6745">
      <formula>Y85="探"</formula>
    </cfRule>
    <cfRule type="expression" dxfId="4" priority="6746">
      <formula>Y85="年"</formula>
    </cfRule>
    <cfRule type="expression" dxfId="3" priority="6747">
      <formula>Y85="事"</formula>
    </cfRule>
    <cfRule type="expression" dxfId="2" priority="6748">
      <formula>Y85="病"</formula>
    </cfRule>
  </conditionalFormatting>
  <conditionalFormatting sqref="X86:Y86 X87">
    <cfRule type="expression" dxfId="5" priority="3841">
      <formula>X86="探"</formula>
    </cfRule>
    <cfRule type="expression" dxfId="4" priority="3842">
      <formula>X86="年"</formula>
    </cfRule>
    <cfRule type="expression" dxfId="3" priority="3843">
      <formula>X86="事"</formula>
    </cfRule>
    <cfRule type="expression" dxfId="2" priority="3844">
      <formula>X86="病"</formula>
    </cfRule>
  </conditionalFormatting>
  <conditionalFormatting sqref="G87:N87 Q87">
    <cfRule type="expression" dxfId="5" priority="8853">
      <formula>G87="探"</formula>
    </cfRule>
    <cfRule type="expression" dxfId="4" priority="8854">
      <formula>G87="年"</formula>
    </cfRule>
    <cfRule type="expression" dxfId="3" priority="8855">
      <formula>G87="事"</formula>
    </cfRule>
    <cfRule type="expression" dxfId="2" priority="8856">
      <formula>G87="病"</formula>
    </cfRule>
  </conditionalFormatting>
  <conditionalFormatting sqref="G88:H88 J88">
    <cfRule type="expression" dxfId="5" priority="6225">
      <formula>G88="探"</formula>
    </cfRule>
    <cfRule type="expression" dxfId="4" priority="6226">
      <formula>G88="年"</formula>
    </cfRule>
    <cfRule type="expression" dxfId="3" priority="6227">
      <formula>G88="事"</formula>
    </cfRule>
    <cfRule type="expression" dxfId="2" priority="6228">
      <formula>G88="病"</formula>
    </cfRule>
  </conditionalFormatting>
  <conditionalFormatting sqref="O93:Q93 P94:Q94">
    <cfRule type="expression" dxfId="5" priority="8589">
      <formula>O93="探"</formula>
    </cfRule>
    <cfRule type="expression" dxfId="4" priority="8590">
      <formula>O93="年"</formula>
    </cfRule>
    <cfRule type="expression" dxfId="3" priority="8591">
      <formula>O93="事"</formula>
    </cfRule>
    <cfRule type="expression" dxfId="2" priority="8592">
      <formula>O93="病"</formula>
    </cfRule>
  </conditionalFormatting>
  <conditionalFormatting sqref="AJ95:AM95 AL96:AM108">
    <cfRule type="expression" dxfId="2" priority="512">
      <formula>AJ95="病"</formula>
    </cfRule>
    <cfRule type="expression" dxfId="3" priority="511">
      <formula>AJ95="事"</formula>
    </cfRule>
    <cfRule type="expression" dxfId="4" priority="510">
      <formula>AJ95="年"</formula>
    </cfRule>
    <cfRule type="expression" dxfId="5" priority="509">
      <formula>AJ95="探"</formula>
    </cfRule>
  </conditionalFormatting>
  <conditionalFormatting sqref="R99 T99">
    <cfRule type="expression" dxfId="5" priority="3689">
      <formula>R99="探"</formula>
    </cfRule>
    <cfRule type="expression" dxfId="4" priority="3690">
      <formula>R99="年"</formula>
    </cfRule>
    <cfRule type="expression" dxfId="3" priority="3691">
      <formula>R99="事"</formula>
    </cfRule>
    <cfRule type="expression" dxfId="2" priority="3692">
      <formula>R99="病"</formula>
    </cfRule>
  </conditionalFormatting>
  <conditionalFormatting sqref="U99 W99">
    <cfRule type="expression" dxfId="5" priority="3681">
      <formula>U99="探"</formula>
    </cfRule>
    <cfRule type="expression" dxfId="4" priority="3682">
      <formula>U99="年"</formula>
    </cfRule>
    <cfRule type="expression" dxfId="3" priority="3683">
      <formula>U99="事"</formula>
    </cfRule>
    <cfRule type="expression" dxfId="2" priority="3684">
      <formula>U99="病"</formula>
    </cfRule>
  </conditionalFormatting>
  <conditionalFormatting sqref="AF99:AJ99 AF100">
    <cfRule type="expression" dxfId="5" priority="7409">
      <formula>AF99="探"</formula>
    </cfRule>
    <cfRule type="expression" dxfId="4" priority="7410">
      <formula>AF99="年"</formula>
    </cfRule>
    <cfRule type="expression" dxfId="3" priority="7411">
      <formula>AF99="事"</formula>
    </cfRule>
    <cfRule type="expression" dxfId="2" priority="7412">
      <formula>AF99="病"</formula>
    </cfRule>
  </conditionalFormatting>
  <conditionalFormatting sqref="X104:Y104 Y105">
    <cfRule type="expression" dxfId="5" priority="3565">
      <formula>X104="探"</formula>
    </cfRule>
    <cfRule type="expression" dxfId="4" priority="3566">
      <formula>X104="年"</formula>
    </cfRule>
    <cfRule type="expression" dxfId="3" priority="3567">
      <formula>X104="事"</formula>
    </cfRule>
    <cfRule type="expression" dxfId="2" priority="3568">
      <formula>X104="病"</formula>
    </cfRule>
  </conditionalFormatting>
  <conditionalFormatting sqref="AB104:AC105">
    <cfRule type="expression" dxfId="2" priority="1508">
      <formula>AB104="病"</formula>
    </cfRule>
    <cfRule type="expression" dxfId="3" priority="1507">
      <formula>AB104="事"</formula>
    </cfRule>
    <cfRule type="expression" dxfId="4" priority="1506">
      <formula>AB104="年"</formula>
    </cfRule>
    <cfRule type="expression" dxfId="5" priority="1505">
      <formula>AB104="探"</formula>
    </cfRule>
  </conditionalFormatting>
  <conditionalFormatting sqref="AF104:AG105">
    <cfRule type="expression" dxfId="2" priority="1496">
      <formula>AF104="病"</formula>
    </cfRule>
    <cfRule type="expression" dxfId="3" priority="1495">
      <formula>AF104="事"</formula>
    </cfRule>
    <cfRule type="expression" dxfId="4" priority="1494">
      <formula>AF104="年"</formula>
    </cfRule>
    <cfRule type="expression" dxfId="5" priority="1493">
      <formula>AF104="探"</formula>
    </cfRule>
  </conditionalFormatting>
  <conditionalFormatting sqref="AJ104:AK105">
    <cfRule type="expression" dxfId="2" priority="420">
      <formula>AJ104="病"</formula>
    </cfRule>
    <cfRule type="expression" dxfId="3" priority="419">
      <formula>AJ104="事"</formula>
    </cfRule>
    <cfRule type="expression" dxfId="4" priority="418">
      <formula>AJ104="年"</formula>
    </cfRule>
    <cfRule type="expression" dxfId="5" priority="417">
      <formula>AJ104="探"</formula>
    </cfRule>
  </conditionalFormatting>
  <conditionalFormatting sqref="AG111 AK111">
    <cfRule type="expression" dxfId="5" priority="6617">
      <formula>AG111="探"</formula>
    </cfRule>
    <cfRule type="expression" dxfId="4" priority="6618">
      <formula>AG111="年"</formula>
    </cfRule>
    <cfRule type="expression" dxfId="3" priority="6619">
      <formula>AG111="事"</formula>
    </cfRule>
    <cfRule type="expression" dxfId="2" priority="6620">
      <formula>AG111="病"</formula>
    </cfRule>
  </conditionalFormatting>
  <conditionalFormatting sqref="G123:H123 K123:L123">
    <cfRule type="expression" dxfId="5" priority="8945">
      <formula>G123="探"</formula>
    </cfRule>
    <cfRule type="expression" dxfId="4" priority="8946">
      <formula>G123="年"</formula>
    </cfRule>
    <cfRule type="expression" dxfId="3" priority="8947">
      <formula>G123="事"</formula>
    </cfRule>
    <cfRule type="expression" dxfId="2" priority="8948">
      <formula>G123="病"</formula>
    </cfRule>
  </conditionalFormatting>
  <conditionalFormatting sqref="G124 K124">
    <cfRule type="expression" dxfId="5" priority="8937">
      <formula>G124="探"</formula>
    </cfRule>
    <cfRule type="expression" dxfId="4" priority="8938">
      <formula>G124="年"</formula>
    </cfRule>
    <cfRule type="expression" dxfId="3" priority="8939">
      <formula>G124="事"</formula>
    </cfRule>
    <cfRule type="expression" dxfId="2" priority="8940">
      <formula>G124="病"</formula>
    </cfRule>
  </conditionalFormatting>
  <conditionalFormatting sqref="K126:N127">
    <cfRule type="expression" dxfId="5" priority="5353">
      <formula>K126="探"</formula>
    </cfRule>
    <cfRule type="expression" dxfId="4" priority="5354">
      <formula>K126="年"</formula>
    </cfRule>
    <cfRule type="expression" dxfId="3" priority="5355">
      <formula>K126="事"</formula>
    </cfRule>
    <cfRule type="expression" dxfId="2" priority="5356">
      <formula>K126="病"</formula>
    </cfRule>
  </conditionalFormatting>
  <conditionalFormatting sqref="Q126:V127">
    <cfRule type="expression" dxfId="5" priority="3225">
      <formula>Q126="探"</formula>
    </cfRule>
    <cfRule type="expression" dxfId="4" priority="3226">
      <formula>Q126="年"</formula>
    </cfRule>
    <cfRule type="expression" dxfId="3" priority="3227">
      <formula>Q126="事"</formula>
    </cfRule>
    <cfRule type="expression" dxfId="2" priority="3228">
      <formula>Q126="病"</formula>
    </cfRule>
  </conditionalFormatting>
  <conditionalFormatting sqref="W126:X127">
    <cfRule type="expression" dxfId="5" priority="3221">
      <formula>W126="探"</formula>
    </cfRule>
    <cfRule type="expression" dxfId="4" priority="3222">
      <formula>W126="年"</formula>
    </cfRule>
    <cfRule type="expression" dxfId="3" priority="3223">
      <formula>W126="事"</formula>
    </cfRule>
    <cfRule type="expression" dxfId="2" priority="3224">
      <formula>W126="病"</formula>
    </cfRule>
  </conditionalFormatting>
  <conditionalFormatting sqref="AF128:AJ129">
    <cfRule type="expression" dxfId="2" priority="148">
      <formula>AF128="病"</formula>
    </cfRule>
    <cfRule type="expression" dxfId="3" priority="147">
      <formula>AF128="事"</formula>
    </cfRule>
    <cfRule type="expression" dxfId="4" priority="146">
      <formula>AF128="年"</formula>
    </cfRule>
    <cfRule type="expression" dxfId="5" priority="145">
      <formula>AF128="探"</formula>
    </cfRule>
  </conditionalFormatting>
  <conditionalFormatting sqref="V132:X132 X133">
    <cfRule type="expression" dxfId="5" priority="8345">
      <formula>V132="探"</formula>
    </cfRule>
    <cfRule type="expression" dxfId="4" priority="8346">
      <formula>V132="年"</formula>
    </cfRule>
    <cfRule type="expression" dxfId="3" priority="8347">
      <formula>V132="事"</formula>
    </cfRule>
    <cfRule type="expression" dxfId="2" priority="8348">
      <formula>V132="病"</formula>
    </cfRule>
  </conditionalFormatting>
  <conditionalFormatting sqref="G135:H135 J135">
    <cfRule type="expression" dxfId="5" priority="6193">
      <formula>G135="探"</formula>
    </cfRule>
    <cfRule type="expression" dxfId="4" priority="6194">
      <formula>G135="年"</formula>
    </cfRule>
    <cfRule type="expression" dxfId="3" priority="6195">
      <formula>G135="事"</formula>
    </cfRule>
    <cfRule type="expression" dxfId="2" priority="6196">
      <formula>G135="病"</formula>
    </cfRule>
  </conditionalFormatting>
  <conditionalFormatting sqref="AE138:AL138 AL139:AL143">
    <cfRule type="expression" dxfId="2" priority="64">
      <formula>AE138="病"</formula>
    </cfRule>
    <cfRule type="expression" dxfId="3" priority="63">
      <formula>AE138="事"</formula>
    </cfRule>
    <cfRule type="expression" dxfId="4" priority="62">
      <formula>AE138="年"</formula>
    </cfRule>
    <cfRule type="expression" dxfId="5" priority="61">
      <formula>AE138="探"</formula>
    </cfRule>
  </conditionalFormatting>
  <conditionalFormatting sqref="AE139:AH139 AJ139">
    <cfRule type="expression" dxfId="2" priority="60">
      <formula>AE139="病"</formula>
    </cfRule>
    <cfRule type="expression" dxfId="3" priority="59">
      <formula>AE139="事"</formula>
    </cfRule>
    <cfRule type="expression" dxfId="4" priority="58">
      <formula>AE139="年"</formula>
    </cfRule>
    <cfRule type="expression" dxfId="5" priority="57">
      <formula>AE139="探"</formula>
    </cfRule>
  </conditionalFormatting>
  <conditionalFormatting sqref="AE140:AH140 AJ140">
    <cfRule type="expression" dxfId="2" priority="52">
      <formula>AE140="病"</formula>
    </cfRule>
    <cfRule type="expression" dxfId="3" priority="51">
      <formula>AE140="事"</formula>
    </cfRule>
    <cfRule type="expression" dxfId="4" priority="50">
      <formula>AE140="年"</formula>
    </cfRule>
    <cfRule type="expression" dxfId="5" priority="49">
      <formula>AE140="探"</formula>
    </cfRule>
  </conditionalFormatting>
  <conditionalFormatting sqref="M144:N144 P144">
    <cfRule type="expression" dxfId="5" priority="8477">
      <formula>M144="探"</formula>
    </cfRule>
    <cfRule type="expression" dxfId="4" priority="8478">
      <formula>M144="年"</formula>
    </cfRule>
    <cfRule type="expression" dxfId="3" priority="8479">
      <formula>M144="事"</formula>
    </cfRule>
    <cfRule type="expression" dxfId="2" priority="8480">
      <formula>M144="病"</formula>
    </cfRule>
  </conditionalFormatting>
  <conditionalFormatting sqref="O144 Q144:X144">
    <cfRule type="expression" dxfId="5" priority="8473">
      <formula>O144="探"</formula>
    </cfRule>
    <cfRule type="expression" dxfId="4" priority="8474">
      <formula>O144="年"</formula>
    </cfRule>
    <cfRule type="expression" dxfId="3" priority="8475">
      <formula>O144="事"</formula>
    </cfRule>
    <cfRule type="expression" dxfId="2" priority="8476">
      <formula>O144="病"</formula>
    </cfRule>
  </conditionalFormatting>
  <conditionalFormatting sqref="I145:T145 G145:H154">
    <cfRule type="expression" dxfId="5" priority="19699">
      <formula>G145="探"</formula>
    </cfRule>
    <cfRule type="expression" dxfId="4" priority="19700">
      <formula>G145="年"</formula>
    </cfRule>
    <cfRule type="expression" dxfId="3" priority="19701">
      <formula>G145="事"</formula>
    </cfRule>
    <cfRule type="expression" dxfId="2" priority="19702">
      <formula>G145="病"</formula>
    </cfRule>
  </conditionalFormatting>
  <conditionalFormatting sqref="I154:AI154 G155:AI484 AF153:AI153 I146:T151 U146:AI148 U145:AC145 AE149:AI149 U150:AI151 AE152:AI152 U149:Z149 P152:Q152 I152:N152 S152 X152:Z152 AJ146:AK484">
    <cfRule type="expression" dxfId="5" priority="19711">
      <formula>G145="探"</formula>
    </cfRule>
    <cfRule type="expression" dxfId="4" priority="19712">
      <formula>G145="年"</formula>
    </cfRule>
    <cfRule type="expression" dxfId="3" priority="19715">
      <formula>G145="事"</formula>
    </cfRule>
    <cfRule type="expression" dxfId="2" priority="19717">
      <formula>G145="病"</formula>
    </cfRule>
  </conditionalFormatting>
  <printOptions horizontalCentered="1"/>
  <pageMargins left="0.238888888888889" right="0.238888888888889" top="0.388888888888889" bottom="0.388888888888889" header="0.509027777777778" footer="0.509027777777778"/>
  <pageSetup paperSize="9" fitToHeight="0" orientation="landscape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8"/>
  <sheetViews>
    <sheetView zoomScale="120" zoomScaleNormal="120" workbookViewId="0">
      <pane ySplit="7" topLeftCell="A8" activePane="bottomLeft" state="frozen"/>
      <selection/>
      <selection pane="bottomLeft" activeCell="C5" sqref="C5"/>
    </sheetView>
  </sheetViews>
  <sheetFormatPr defaultColWidth="4" defaultRowHeight="18" customHeight="1"/>
  <cols>
    <col min="1" max="1" width="2.75" style="54" customWidth="1"/>
    <col min="2" max="2" width="5.25" style="55" customWidth="1"/>
    <col min="3" max="3" width="11" style="55" customWidth="1"/>
    <col min="4" max="4" width="5.625" style="55" customWidth="1"/>
    <col min="5" max="5" width="5.125" style="55" customWidth="1"/>
    <col min="6" max="6" width="5.375" style="56" customWidth="1"/>
    <col min="7" max="7" width="3.5" style="55" customWidth="1"/>
    <col min="8" max="8" width="2.875" style="4" customWidth="1"/>
    <col min="9" max="9" width="1.625" style="4" customWidth="1"/>
    <col min="10" max="10" width="2.5" style="4" customWidth="1"/>
    <col min="11" max="11" width="2.125" style="4" customWidth="1"/>
    <col min="12" max="12" width="2.375" style="4" customWidth="1"/>
    <col min="13" max="20" width="1.875" style="4" customWidth="1"/>
    <col min="21" max="21" width="2.125" style="4" customWidth="1"/>
    <col min="22" max="22" width="2.25" style="4" customWidth="1"/>
    <col min="23" max="23" width="9" style="55" customWidth="1"/>
    <col min="24" max="24" width="8.5" style="55" customWidth="1"/>
    <col min="25" max="25" width="6.375" style="55" customWidth="1"/>
    <col min="26" max="26" width="6.625" style="55" customWidth="1"/>
    <col min="27" max="27" width="6" style="55" customWidth="1"/>
    <col min="28" max="31" width="7.25" style="55" customWidth="1"/>
    <col min="32" max="32" width="4.25" style="4" customWidth="1"/>
    <col min="33" max="33" width="19.625" style="57" customWidth="1"/>
    <col min="34" max="16384" width="4" style="4"/>
  </cols>
  <sheetData>
    <row r="1" s="25" customFormat="1" customHeight="1" spans="1:33">
      <c r="A1" s="58" t="s">
        <v>222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</row>
    <row r="2" s="53" customFormat="1" customHeight="1" spans="1:33">
      <c r="A2" s="59" t="s">
        <v>223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="25" customFormat="1" customHeight="1" spans="1:33">
      <c r="A3" s="60" t="s">
        <v>224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</row>
    <row r="4" ht="27" customHeight="1" spans="1:33">
      <c r="A4" s="61" t="s">
        <v>5</v>
      </c>
      <c r="B4" s="17" t="s">
        <v>225</v>
      </c>
      <c r="C4" s="17" t="s">
        <v>6</v>
      </c>
      <c r="D4" s="17" t="s">
        <v>7</v>
      </c>
      <c r="E4" s="17" t="s">
        <v>8</v>
      </c>
      <c r="F4" s="62" t="s">
        <v>226</v>
      </c>
      <c r="G4" s="17" t="s">
        <v>10</v>
      </c>
      <c r="H4" s="43" t="s">
        <v>227</v>
      </c>
      <c r="I4" s="43" t="s">
        <v>228</v>
      </c>
      <c r="J4" s="43" t="s">
        <v>229</v>
      </c>
      <c r="K4" s="43" t="s">
        <v>230</v>
      </c>
      <c r="L4" s="14" t="s">
        <v>231</v>
      </c>
      <c r="M4" s="43" t="s">
        <v>232</v>
      </c>
      <c r="N4" s="14" t="s">
        <v>233</v>
      </c>
      <c r="O4" s="14" t="s">
        <v>234</v>
      </c>
      <c r="P4" s="14" t="s">
        <v>235</v>
      </c>
      <c r="Q4" s="14" t="s">
        <v>236</v>
      </c>
      <c r="R4" s="14" t="s">
        <v>237</v>
      </c>
      <c r="S4" s="14" t="s">
        <v>238</v>
      </c>
      <c r="T4" s="14" t="s">
        <v>239</v>
      </c>
      <c r="U4" s="14" t="s">
        <v>240</v>
      </c>
      <c r="V4" s="14" t="s">
        <v>241</v>
      </c>
      <c r="W4" s="17" t="s">
        <v>227</v>
      </c>
      <c r="X4" s="17" t="s">
        <v>229</v>
      </c>
      <c r="Y4" s="17" t="s">
        <v>230</v>
      </c>
      <c r="Z4" s="17" t="s">
        <v>231</v>
      </c>
      <c r="AA4" s="17" t="s">
        <v>234</v>
      </c>
      <c r="AB4" s="17" t="s">
        <v>238</v>
      </c>
      <c r="AC4" s="17" t="s">
        <v>239</v>
      </c>
      <c r="AD4" s="17" t="s">
        <v>240</v>
      </c>
      <c r="AE4" s="17" t="s">
        <v>241</v>
      </c>
      <c r="AF4" s="14" t="s">
        <v>242</v>
      </c>
      <c r="AG4" s="62" t="s">
        <v>243</v>
      </c>
    </row>
    <row r="5" ht="17.1" customHeight="1" spans="1:33">
      <c r="A5" s="63">
        <f t="shared" ref="A5:A9" si="0">ROW()-4</f>
        <v>1</v>
      </c>
      <c r="B5" s="16"/>
      <c r="C5" s="16"/>
      <c r="D5" s="16"/>
      <c r="E5" s="16"/>
      <c r="F5" s="16"/>
      <c r="G5" s="16"/>
      <c r="H5" s="16"/>
      <c r="I5" s="16"/>
      <c r="J5" s="16"/>
      <c r="K5" s="72"/>
      <c r="L5" s="16"/>
      <c r="M5" s="16"/>
      <c r="N5" s="16"/>
      <c r="O5" s="16"/>
      <c r="P5" s="16"/>
      <c r="Q5" s="16"/>
      <c r="R5" s="16"/>
      <c r="S5" s="16"/>
      <c r="T5" s="16"/>
      <c r="U5" s="89"/>
      <c r="V5" s="16"/>
      <c r="W5" s="90"/>
      <c r="X5" s="91"/>
      <c r="Y5" s="91"/>
      <c r="Z5" s="16"/>
      <c r="AA5" s="16"/>
      <c r="AB5" s="16"/>
      <c r="AC5" s="16"/>
      <c r="AD5" s="16"/>
      <c r="AE5" s="16"/>
      <c r="AF5" s="16"/>
      <c r="AG5" s="39"/>
    </row>
    <row r="6" ht="17.1" customHeight="1" spans="1:33">
      <c r="A6" s="63">
        <f t="shared" si="0"/>
        <v>2</v>
      </c>
      <c r="B6" s="16"/>
      <c r="C6" s="16"/>
      <c r="D6" s="16"/>
      <c r="E6" s="16"/>
      <c r="F6" s="16"/>
      <c r="G6" s="16"/>
      <c r="H6" s="16"/>
      <c r="I6" s="16"/>
      <c r="J6" s="16"/>
      <c r="K6" s="72"/>
      <c r="L6" s="16"/>
      <c r="M6" s="16"/>
      <c r="N6" s="16"/>
      <c r="O6" s="16"/>
      <c r="P6" s="16"/>
      <c r="Q6" s="16"/>
      <c r="R6" s="16"/>
      <c r="S6" s="16"/>
      <c r="T6" s="16"/>
      <c r="U6" s="89"/>
      <c r="V6" s="16"/>
      <c r="W6" s="90"/>
      <c r="X6" s="91"/>
      <c r="Y6" s="16"/>
      <c r="Z6" s="16"/>
      <c r="AA6" s="16"/>
      <c r="AB6" s="16"/>
      <c r="AC6" s="16"/>
      <c r="AD6" s="16"/>
      <c r="AE6" s="16"/>
      <c r="AF6" s="16"/>
      <c r="AG6" s="39"/>
    </row>
    <row r="7" customHeight="1" spans="1:33">
      <c r="A7" s="63">
        <f t="shared" si="0"/>
        <v>3</v>
      </c>
      <c r="B7" s="16"/>
      <c r="C7" s="16"/>
      <c r="D7" s="16"/>
      <c r="E7" s="16"/>
      <c r="F7" s="16"/>
      <c r="G7" s="16"/>
      <c r="H7" s="64"/>
      <c r="I7" s="73"/>
      <c r="J7" s="73"/>
      <c r="K7" s="73"/>
      <c r="L7" s="73"/>
      <c r="M7" s="73"/>
      <c r="N7" s="43"/>
      <c r="O7" s="74"/>
      <c r="P7" s="74"/>
      <c r="Q7" s="73"/>
      <c r="R7" s="73"/>
      <c r="S7" s="73"/>
      <c r="T7" s="73"/>
      <c r="U7" s="92"/>
      <c r="V7" s="73"/>
      <c r="W7" s="93"/>
      <c r="X7" s="43"/>
      <c r="Y7" s="61"/>
      <c r="Z7" s="108"/>
      <c r="AA7" s="61"/>
      <c r="AB7" s="61"/>
      <c r="AC7" s="108"/>
      <c r="AD7" s="108"/>
      <c r="AE7" s="108"/>
      <c r="AF7" s="16"/>
      <c r="AG7" s="113"/>
    </row>
    <row r="8" ht="15" customHeight="1" spans="1:33">
      <c r="A8" s="63">
        <f t="shared" si="0"/>
        <v>4</v>
      </c>
      <c r="B8" s="16"/>
      <c r="C8" s="16"/>
      <c r="D8" s="16"/>
      <c r="E8" s="16"/>
      <c r="F8" s="16"/>
      <c r="G8" s="16"/>
      <c r="H8" s="64"/>
      <c r="I8" s="73"/>
      <c r="J8" s="73"/>
      <c r="K8" s="73"/>
      <c r="L8" s="73"/>
      <c r="M8" s="73"/>
      <c r="N8" s="43"/>
      <c r="O8" s="74"/>
      <c r="P8" s="74"/>
      <c r="Q8" s="73"/>
      <c r="R8" s="73"/>
      <c r="S8" s="73"/>
      <c r="T8" s="73"/>
      <c r="U8" s="92"/>
      <c r="V8" s="73"/>
      <c r="W8" s="93"/>
      <c r="X8" s="43"/>
      <c r="Y8" s="61"/>
      <c r="Z8" s="108"/>
      <c r="AA8" s="61"/>
      <c r="AB8" s="61"/>
      <c r="AC8" s="108"/>
      <c r="AD8" s="108"/>
      <c r="AE8" s="108"/>
      <c r="AF8" s="16"/>
      <c r="AG8" s="113"/>
    </row>
    <row r="9" ht="15" customHeight="1" spans="1:33">
      <c r="A9" s="63">
        <f t="shared" si="0"/>
        <v>5</v>
      </c>
      <c r="B9" s="16"/>
      <c r="C9" s="65"/>
      <c r="D9" s="65"/>
      <c r="E9" s="65"/>
      <c r="F9" s="65"/>
      <c r="G9" s="65"/>
      <c r="H9" s="66"/>
      <c r="I9" s="75"/>
      <c r="J9" s="75"/>
      <c r="K9" s="75"/>
      <c r="L9" s="75"/>
      <c r="M9" s="75"/>
      <c r="N9" s="76"/>
      <c r="O9" s="67"/>
      <c r="P9" s="67"/>
      <c r="Q9" s="75"/>
      <c r="R9" s="75"/>
      <c r="S9" s="75"/>
      <c r="T9" s="75"/>
      <c r="U9" s="94"/>
      <c r="V9" s="75"/>
      <c r="W9" s="95"/>
      <c r="X9" s="76"/>
      <c r="Y9" s="108"/>
      <c r="Z9" s="108"/>
      <c r="AA9" s="108"/>
      <c r="AB9" s="108"/>
      <c r="AC9" s="108"/>
      <c r="AD9" s="108"/>
      <c r="AE9" s="108"/>
      <c r="AF9" s="16"/>
      <c r="AG9" s="113"/>
    </row>
    <row r="10" ht="15" customHeight="1" spans="1:33">
      <c r="A10" s="63">
        <f t="shared" ref="A10:A23" si="1">ROW()-4</f>
        <v>6</v>
      </c>
      <c r="B10" s="16"/>
      <c r="C10" s="65"/>
      <c r="D10" s="65"/>
      <c r="E10" s="65"/>
      <c r="F10" s="65"/>
      <c r="G10" s="65"/>
      <c r="H10" s="66"/>
      <c r="I10" s="75"/>
      <c r="J10" s="75"/>
      <c r="K10" s="75"/>
      <c r="L10" s="75"/>
      <c r="M10" s="75"/>
      <c r="N10" s="76"/>
      <c r="O10" s="67"/>
      <c r="P10" s="67"/>
      <c r="Q10" s="75"/>
      <c r="R10" s="75"/>
      <c r="S10" s="75"/>
      <c r="T10" s="75"/>
      <c r="U10" s="94"/>
      <c r="V10" s="75"/>
      <c r="W10" s="95"/>
      <c r="X10" s="76"/>
      <c r="Y10" s="108"/>
      <c r="Z10" s="108"/>
      <c r="AA10" s="108"/>
      <c r="AB10" s="108"/>
      <c r="AC10" s="108"/>
      <c r="AD10" s="108"/>
      <c r="AE10" s="108"/>
      <c r="AF10" s="16"/>
      <c r="AG10" s="113"/>
    </row>
    <row r="11" ht="15" customHeight="1" spans="1:33">
      <c r="A11" s="63">
        <f t="shared" si="1"/>
        <v>7</v>
      </c>
      <c r="B11" s="16"/>
      <c r="C11" s="65"/>
      <c r="D11" s="65"/>
      <c r="E11" s="65"/>
      <c r="F11" s="65"/>
      <c r="G11" s="65"/>
      <c r="H11" s="66"/>
      <c r="I11" s="75"/>
      <c r="J11" s="75"/>
      <c r="K11" s="75"/>
      <c r="L11" s="75"/>
      <c r="M11" s="75"/>
      <c r="N11" s="76"/>
      <c r="O11" s="67"/>
      <c r="P11" s="67"/>
      <c r="Q11" s="75"/>
      <c r="R11" s="75"/>
      <c r="S11" s="75"/>
      <c r="T11" s="75"/>
      <c r="U11" s="94"/>
      <c r="V11" s="75"/>
      <c r="W11" s="95"/>
      <c r="X11" s="76"/>
      <c r="Y11" s="108"/>
      <c r="Z11" s="108"/>
      <c r="AA11" s="108"/>
      <c r="AB11" s="108"/>
      <c r="AC11" s="108"/>
      <c r="AD11" s="108"/>
      <c r="AE11" s="108"/>
      <c r="AF11" s="16"/>
      <c r="AG11" s="113"/>
    </row>
    <row r="12" ht="15" customHeight="1" spans="1:33">
      <c r="A12" s="63">
        <f t="shared" si="1"/>
        <v>8</v>
      </c>
      <c r="B12" s="16"/>
      <c r="C12" s="65"/>
      <c r="D12" s="65"/>
      <c r="E12" s="65"/>
      <c r="F12" s="65"/>
      <c r="G12" s="65"/>
      <c r="H12" s="66"/>
      <c r="I12" s="75"/>
      <c r="J12" s="75"/>
      <c r="K12" s="75"/>
      <c r="L12" s="75"/>
      <c r="M12" s="75"/>
      <c r="N12" s="76"/>
      <c r="O12" s="76"/>
      <c r="P12" s="76"/>
      <c r="Q12" s="75"/>
      <c r="R12" s="75"/>
      <c r="S12" s="75"/>
      <c r="T12" s="75"/>
      <c r="U12" s="94"/>
      <c r="V12" s="75"/>
      <c r="W12" s="95"/>
      <c r="X12" s="96"/>
      <c r="Y12" s="108"/>
      <c r="Z12" s="108"/>
      <c r="AA12" s="108"/>
      <c r="AB12" s="108"/>
      <c r="AC12" s="108"/>
      <c r="AD12" s="108"/>
      <c r="AE12" s="108"/>
      <c r="AF12" s="16"/>
      <c r="AG12" s="114"/>
    </row>
    <row r="13" ht="15" customHeight="1" spans="1:33">
      <c r="A13" s="63">
        <f t="shared" si="1"/>
        <v>9</v>
      </c>
      <c r="B13" s="16"/>
      <c r="C13" s="65"/>
      <c r="D13" s="65"/>
      <c r="E13" s="65"/>
      <c r="F13" s="65"/>
      <c r="G13" s="65"/>
      <c r="H13" s="66"/>
      <c r="I13" s="75"/>
      <c r="J13" s="75"/>
      <c r="K13" s="77"/>
      <c r="L13" s="75"/>
      <c r="M13" s="75"/>
      <c r="N13" s="76"/>
      <c r="O13" s="76"/>
      <c r="P13" s="76"/>
      <c r="Q13" s="75"/>
      <c r="R13" s="75"/>
      <c r="S13" s="75"/>
      <c r="T13" s="75"/>
      <c r="U13" s="94"/>
      <c r="V13" s="75"/>
      <c r="W13" s="95"/>
      <c r="X13" s="97"/>
      <c r="Y13" s="108"/>
      <c r="Z13" s="108"/>
      <c r="AA13" s="108"/>
      <c r="AB13" s="108"/>
      <c r="AC13" s="108"/>
      <c r="AD13" s="108"/>
      <c r="AE13" s="108"/>
      <c r="AF13" s="16"/>
      <c r="AG13" s="115"/>
    </row>
    <row r="14" ht="15" customHeight="1" spans="1:33">
      <c r="A14" s="63">
        <f t="shared" si="1"/>
        <v>10</v>
      </c>
      <c r="B14" s="16"/>
      <c r="C14" s="65"/>
      <c r="D14" s="65"/>
      <c r="E14" s="65"/>
      <c r="F14" s="65"/>
      <c r="G14" s="65"/>
      <c r="H14" s="66"/>
      <c r="I14" s="75"/>
      <c r="J14" s="75"/>
      <c r="K14" s="77"/>
      <c r="L14" s="75"/>
      <c r="M14" s="75"/>
      <c r="N14" s="76"/>
      <c r="O14" s="67"/>
      <c r="P14" s="67"/>
      <c r="Q14" s="75"/>
      <c r="R14" s="75"/>
      <c r="S14" s="75"/>
      <c r="T14" s="75"/>
      <c r="U14" s="94"/>
      <c r="V14" s="75"/>
      <c r="W14" s="95"/>
      <c r="X14" s="67"/>
      <c r="Y14" s="109"/>
      <c r="Z14" s="109"/>
      <c r="AA14" s="109"/>
      <c r="AB14" s="109"/>
      <c r="AC14" s="109"/>
      <c r="AD14" s="109"/>
      <c r="AE14" s="109"/>
      <c r="AF14" s="16"/>
      <c r="AG14" s="113"/>
    </row>
    <row r="15" ht="15" customHeight="1" spans="1:33">
      <c r="A15" s="63">
        <f t="shared" si="1"/>
        <v>11</v>
      </c>
      <c r="B15" s="16"/>
      <c r="C15" s="65"/>
      <c r="D15" s="65"/>
      <c r="E15" s="65"/>
      <c r="F15" s="65"/>
      <c r="G15" s="65"/>
      <c r="H15" s="66"/>
      <c r="I15" s="75"/>
      <c r="J15" s="75"/>
      <c r="K15" s="75"/>
      <c r="L15" s="75"/>
      <c r="M15" s="75"/>
      <c r="N15" s="76"/>
      <c r="O15" s="67"/>
      <c r="P15" s="67"/>
      <c r="Q15" s="75"/>
      <c r="R15" s="75"/>
      <c r="S15" s="75"/>
      <c r="T15" s="75"/>
      <c r="U15" s="94"/>
      <c r="V15" s="75"/>
      <c r="W15" s="95"/>
      <c r="X15" s="67"/>
      <c r="Y15" s="108"/>
      <c r="Z15" s="108"/>
      <c r="AA15" s="108"/>
      <c r="AB15" s="108"/>
      <c r="AC15" s="108"/>
      <c r="AD15" s="108"/>
      <c r="AE15" s="108"/>
      <c r="AF15" s="16"/>
      <c r="AG15" s="113"/>
    </row>
    <row r="16" ht="15" customHeight="1" spans="1:33">
      <c r="A16" s="63">
        <f t="shared" si="1"/>
        <v>12</v>
      </c>
      <c r="B16" s="16"/>
      <c r="C16" s="65"/>
      <c r="D16" s="65"/>
      <c r="E16" s="65"/>
      <c r="F16" s="65"/>
      <c r="G16" s="65"/>
      <c r="H16" s="66"/>
      <c r="I16" s="75"/>
      <c r="J16" s="75"/>
      <c r="K16" s="75"/>
      <c r="L16" s="75"/>
      <c r="M16" s="75"/>
      <c r="N16" s="76"/>
      <c r="O16" s="67"/>
      <c r="P16" s="67"/>
      <c r="Q16" s="75"/>
      <c r="R16" s="75"/>
      <c r="S16" s="75"/>
      <c r="T16" s="75"/>
      <c r="U16" s="94"/>
      <c r="V16" s="75"/>
      <c r="W16" s="95"/>
      <c r="X16" s="98"/>
      <c r="Y16" s="110"/>
      <c r="Z16" s="109"/>
      <c r="AA16" s="109"/>
      <c r="AB16" s="109"/>
      <c r="AC16" s="109"/>
      <c r="AD16" s="109"/>
      <c r="AE16" s="109"/>
      <c r="AF16" s="16"/>
      <c r="AG16" s="116"/>
    </row>
    <row r="17" ht="15" customHeight="1" spans="1:33">
      <c r="A17" s="63">
        <f t="shared" si="1"/>
        <v>13</v>
      </c>
      <c r="B17" s="16"/>
      <c r="C17" s="65"/>
      <c r="D17" s="65"/>
      <c r="E17" s="65"/>
      <c r="F17" s="65"/>
      <c r="G17" s="65"/>
      <c r="H17" s="66"/>
      <c r="I17" s="75"/>
      <c r="J17" s="75"/>
      <c r="K17" s="75"/>
      <c r="L17" s="75"/>
      <c r="M17" s="75"/>
      <c r="N17" s="76"/>
      <c r="O17" s="76"/>
      <c r="P17" s="76"/>
      <c r="Q17" s="75"/>
      <c r="R17" s="75"/>
      <c r="S17" s="75"/>
      <c r="T17" s="75"/>
      <c r="U17" s="94"/>
      <c r="V17" s="75"/>
      <c r="W17" s="95"/>
      <c r="X17" s="67"/>
      <c r="Y17" s="108"/>
      <c r="Z17" s="108"/>
      <c r="AA17" s="108"/>
      <c r="AB17" s="108"/>
      <c r="AC17" s="108"/>
      <c r="AD17" s="108"/>
      <c r="AE17" s="108"/>
      <c r="AF17" s="16"/>
      <c r="AG17" s="117"/>
    </row>
    <row r="18" ht="15" customHeight="1" spans="1:33">
      <c r="A18" s="63">
        <f t="shared" si="1"/>
        <v>14</v>
      </c>
      <c r="B18" s="16"/>
      <c r="C18" s="65"/>
      <c r="D18" s="65"/>
      <c r="E18" s="65"/>
      <c r="F18" s="65"/>
      <c r="G18" s="65"/>
      <c r="H18" s="66"/>
      <c r="I18" s="75"/>
      <c r="J18" s="75"/>
      <c r="K18" s="75"/>
      <c r="L18" s="75"/>
      <c r="M18" s="75"/>
      <c r="N18" s="76"/>
      <c r="O18" s="67"/>
      <c r="P18" s="67"/>
      <c r="Q18" s="75"/>
      <c r="R18" s="75"/>
      <c r="S18" s="75"/>
      <c r="T18" s="75"/>
      <c r="U18" s="94"/>
      <c r="V18" s="75"/>
      <c r="W18" s="95"/>
      <c r="X18" s="98"/>
      <c r="Y18" s="109"/>
      <c r="Z18" s="109"/>
      <c r="AA18" s="109"/>
      <c r="AB18" s="109"/>
      <c r="AC18" s="109"/>
      <c r="AD18" s="109"/>
      <c r="AE18" s="109"/>
      <c r="AF18" s="16"/>
      <c r="AG18" s="113"/>
    </row>
    <row r="19" ht="15" customHeight="1" spans="1:33">
      <c r="A19" s="63">
        <f t="shared" si="1"/>
        <v>15</v>
      </c>
      <c r="B19" s="16"/>
      <c r="C19" s="65"/>
      <c r="D19" s="65"/>
      <c r="E19" s="65"/>
      <c r="F19" s="65"/>
      <c r="G19" s="65"/>
      <c r="H19" s="66"/>
      <c r="I19" s="75"/>
      <c r="J19" s="75"/>
      <c r="K19" s="75"/>
      <c r="L19" s="75"/>
      <c r="M19" s="75"/>
      <c r="N19" s="76"/>
      <c r="O19" s="67"/>
      <c r="P19" s="67"/>
      <c r="Q19" s="75"/>
      <c r="R19" s="75"/>
      <c r="S19" s="75"/>
      <c r="T19" s="75"/>
      <c r="U19" s="94"/>
      <c r="V19" s="75"/>
      <c r="W19" s="95"/>
      <c r="X19" s="67"/>
      <c r="Y19" s="108"/>
      <c r="Z19" s="108"/>
      <c r="AA19" s="108"/>
      <c r="AB19" s="108"/>
      <c r="AC19" s="108"/>
      <c r="AD19" s="108"/>
      <c r="AE19" s="108"/>
      <c r="AF19" s="16"/>
      <c r="AG19" s="113"/>
    </row>
    <row r="20" ht="15" customHeight="1" spans="1:33">
      <c r="A20" s="63">
        <f t="shared" si="1"/>
        <v>16</v>
      </c>
      <c r="B20" s="16"/>
      <c r="C20" s="65"/>
      <c r="D20" s="65"/>
      <c r="E20" s="67"/>
      <c r="F20" s="68"/>
      <c r="G20" s="65"/>
      <c r="H20" s="66"/>
      <c r="I20" s="75"/>
      <c r="J20" s="75"/>
      <c r="K20" s="66"/>
      <c r="L20" s="75"/>
      <c r="M20" s="75"/>
      <c r="N20" s="76"/>
      <c r="O20" s="67"/>
      <c r="P20" s="67"/>
      <c r="Q20" s="75"/>
      <c r="R20" s="75"/>
      <c r="S20" s="75"/>
      <c r="T20" s="75"/>
      <c r="U20" s="94"/>
      <c r="V20" s="75"/>
      <c r="W20" s="95"/>
      <c r="X20" s="67"/>
      <c r="Y20" s="108"/>
      <c r="Z20" s="108"/>
      <c r="AA20" s="108"/>
      <c r="AB20" s="108"/>
      <c r="AC20" s="108"/>
      <c r="AD20" s="108"/>
      <c r="AE20" s="108"/>
      <c r="AF20" s="16"/>
      <c r="AG20" s="113"/>
    </row>
    <row r="21" ht="15" customHeight="1" spans="1:33">
      <c r="A21" s="63">
        <f t="shared" si="1"/>
        <v>17</v>
      </c>
      <c r="B21" s="16"/>
      <c r="C21" s="65"/>
      <c r="D21" s="65"/>
      <c r="E21" s="67"/>
      <c r="F21" s="68"/>
      <c r="G21" s="65"/>
      <c r="H21" s="66"/>
      <c r="I21" s="75"/>
      <c r="J21" s="75"/>
      <c r="K21" s="66"/>
      <c r="L21" s="75"/>
      <c r="M21" s="75"/>
      <c r="N21" s="76"/>
      <c r="O21" s="67"/>
      <c r="P21" s="67"/>
      <c r="Q21" s="75"/>
      <c r="R21" s="75"/>
      <c r="S21" s="75"/>
      <c r="T21" s="75"/>
      <c r="U21" s="94"/>
      <c r="V21" s="75"/>
      <c r="W21" s="95"/>
      <c r="X21" s="83"/>
      <c r="Y21" s="67"/>
      <c r="Z21" s="108"/>
      <c r="AA21" s="108"/>
      <c r="AB21" s="108"/>
      <c r="AC21" s="108"/>
      <c r="AD21" s="108"/>
      <c r="AE21" s="108"/>
      <c r="AF21" s="16"/>
      <c r="AG21" s="113"/>
    </row>
    <row r="22" ht="15" customHeight="1" spans="1:33">
      <c r="A22" s="63">
        <f t="shared" si="1"/>
        <v>18</v>
      </c>
      <c r="B22" s="16"/>
      <c r="C22" s="65"/>
      <c r="D22" s="65"/>
      <c r="E22" s="67"/>
      <c r="F22" s="68"/>
      <c r="G22" s="65"/>
      <c r="H22" s="66"/>
      <c r="I22" s="75"/>
      <c r="J22" s="75"/>
      <c r="K22" s="66"/>
      <c r="L22" s="75"/>
      <c r="M22" s="75"/>
      <c r="N22" s="76"/>
      <c r="O22" s="78"/>
      <c r="P22" s="79"/>
      <c r="Q22" s="75"/>
      <c r="R22" s="75"/>
      <c r="S22" s="75"/>
      <c r="T22" s="75"/>
      <c r="U22" s="94"/>
      <c r="V22" s="75"/>
      <c r="W22" s="95"/>
      <c r="X22" s="67"/>
      <c r="Y22" s="108"/>
      <c r="Z22" s="108"/>
      <c r="AA22" s="108"/>
      <c r="AB22" s="108"/>
      <c r="AC22" s="108"/>
      <c r="AD22" s="108"/>
      <c r="AE22" s="108"/>
      <c r="AF22" s="16"/>
      <c r="AG22" s="113"/>
    </row>
    <row r="23" ht="15" customHeight="1" spans="1:33">
      <c r="A23" s="63">
        <f t="shared" si="1"/>
        <v>19</v>
      </c>
      <c r="B23" s="16"/>
      <c r="C23" s="65"/>
      <c r="D23" s="65"/>
      <c r="E23" s="69"/>
      <c r="F23" s="68"/>
      <c r="G23" s="65"/>
      <c r="H23" s="66"/>
      <c r="I23" s="75"/>
      <c r="J23" s="75"/>
      <c r="K23" s="66"/>
      <c r="L23" s="75"/>
      <c r="M23" s="75"/>
      <c r="N23" s="76"/>
      <c r="O23" s="80"/>
      <c r="P23" s="67"/>
      <c r="Q23" s="75"/>
      <c r="R23" s="75"/>
      <c r="S23" s="75"/>
      <c r="T23" s="75"/>
      <c r="U23" s="94"/>
      <c r="V23" s="75"/>
      <c r="W23" s="95"/>
      <c r="X23" s="67"/>
      <c r="Y23" s="108"/>
      <c r="Z23" s="108"/>
      <c r="AA23" s="108"/>
      <c r="AB23" s="108"/>
      <c r="AC23" s="108"/>
      <c r="AD23" s="108"/>
      <c r="AE23" s="108"/>
      <c r="AF23" s="16"/>
      <c r="AG23" s="116"/>
    </row>
    <row r="24" ht="15" customHeight="1" spans="1:33">
      <c r="A24" s="63">
        <f t="shared" ref="A24:A32" si="2">ROW()-4</f>
        <v>20</v>
      </c>
      <c r="B24" s="16"/>
      <c r="C24" s="65"/>
      <c r="D24" s="65"/>
      <c r="E24" s="65"/>
      <c r="F24" s="65"/>
      <c r="G24" s="65"/>
      <c r="H24" s="66"/>
      <c r="I24" s="75"/>
      <c r="J24" s="75"/>
      <c r="K24" s="75"/>
      <c r="L24" s="75"/>
      <c r="M24" s="75"/>
      <c r="N24" s="76"/>
      <c r="O24" s="81"/>
      <c r="P24" s="81"/>
      <c r="Q24" s="75"/>
      <c r="R24" s="75"/>
      <c r="S24" s="75"/>
      <c r="T24" s="75"/>
      <c r="U24" s="94"/>
      <c r="V24" s="75"/>
      <c r="W24" s="95"/>
      <c r="X24" s="99"/>
      <c r="Y24" s="99"/>
      <c r="Z24" s="108"/>
      <c r="AA24" s="108"/>
      <c r="AB24" s="108"/>
      <c r="AC24" s="108"/>
      <c r="AD24" s="108"/>
      <c r="AE24" s="108"/>
      <c r="AF24" s="16"/>
      <c r="AG24" s="115"/>
    </row>
    <row r="25" ht="15" customHeight="1" spans="1:33">
      <c r="A25" s="63">
        <f t="shared" si="2"/>
        <v>21</v>
      </c>
      <c r="B25" s="16"/>
      <c r="C25" s="65"/>
      <c r="D25" s="65"/>
      <c r="E25" s="65"/>
      <c r="F25" s="65"/>
      <c r="G25" s="65"/>
      <c r="H25" s="66"/>
      <c r="I25" s="75"/>
      <c r="J25" s="75"/>
      <c r="K25" s="75"/>
      <c r="L25" s="75"/>
      <c r="M25" s="75"/>
      <c r="N25" s="76"/>
      <c r="O25" s="67"/>
      <c r="P25" s="67"/>
      <c r="Q25" s="75"/>
      <c r="R25" s="75"/>
      <c r="S25" s="75"/>
      <c r="T25" s="75"/>
      <c r="U25" s="94"/>
      <c r="V25" s="75"/>
      <c r="W25" s="95"/>
      <c r="X25" s="67"/>
      <c r="Y25" s="108"/>
      <c r="Z25" s="108"/>
      <c r="AA25" s="108"/>
      <c r="AB25" s="108"/>
      <c r="AC25" s="108"/>
      <c r="AD25" s="108"/>
      <c r="AE25" s="108"/>
      <c r="AF25" s="16"/>
      <c r="AG25" s="115"/>
    </row>
    <row r="26" ht="15" customHeight="1" spans="1:33">
      <c r="A26" s="63">
        <f t="shared" si="2"/>
        <v>22</v>
      </c>
      <c r="B26" s="16"/>
      <c r="C26" s="65"/>
      <c r="D26" s="65"/>
      <c r="E26" s="65"/>
      <c r="F26" s="65"/>
      <c r="G26" s="65"/>
      <c r="H26" s="66"/>
      <c r="I26" s="75"/>
      <c r="J26" s="75"/>
      <c r="K26" s="75"/>
      <c r="L26" s="75"/>
      <c r="M26" s="75"/>
      <c r="N26" s="76"/>
      <c r="O26" s="80"/>
      <c r="P26" s="67"/>
      <c r="Q26" s="75"/>
      <c r="R26" s="75"/>
      <c r="S26" s="75"/>
      <c r="T26" s="75"/>
      <c r="U26" s="94"/>
      <c r="V26" s="75"/>
      <c r="W26" s="95"/>
      <c r="X26" s="67"/>
      <c r="Y26" s="108"/>
      <c r="Z26" s="108"/>
      <c r="AA26" s="108"/>
      <c r="AB26" s="108"/>
      <c r="AC26" s="108"/>
      <c r="AD26" s="108"/>
      <c r="AE26" s="108"/>
      <c r="AF26" s="16"/>
      <c r="AG26" s="113"/>
    </row>
    <row r="27" ht="15" customHeight="1" spans="1:33">
      <c r="A27" s="63">
        <f t="shared" si="2"/>
        <v>23</v>
      </c>
      <c r="B27" s="16"/>
      <c r="C27" s="65"/>
      <c r="D27" s="65"/>
      <c r="E27" s="65"/>
      <c r="F27" s="65"/>
      <c r="G27" s="65"/>
      <c r="H27" s="66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94"/>
      <c r="V27" s="75"/>
      <c r="W27" s="95"/>
      <c r="X27" s="67"/>
      <c r="Y27" s="108"/>
      <c r="Z27" s="108"/>
      <c r="AA27" s="108"/>
      <c r="AB27" s="108"/>
      <c r="AC27" s="108"/>
      <c r="AD27" s="108"/>
      <c r="AE27" s="108"/>
      <c r="AF27" s="16"/>
      <c r="AG27" s="113"/>
    </row>
    <row r="28" ht="15" customHeight="1" spans="1:33">
      <c r="A28" s="63">
        <f t="shared" si="2"/>
        <v>24</v>
      </c>
      <c r="B28" s="16"/>
      <c r="C28" s="65"/>
      <c r="D28" s="65"/>
      <c r="E28" s="65"/>
      <c r="F28" s="65"/>
      <c r="G28" s="65"/>
      <c r="H28" s="66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94"/>
      <c r="V28" s="75"/>
      <c r="W28" s="95"/>
      <c r="X28" s="67"/>
      <c r="Y28" s="108"/>
      <c r="Z28" s="108"/>
      <c r="AA28" s="108"/>
      <c r="AB28" s="108"/>
      <c r="AC28" s="108"/>
      <c r="AD28" s="108"/>
      <c r="AE28" s="108"/>
      <c r="AF28" s="16"/>
      <c r="AG28" s="113"/>
    </row>
    <row r="29" ht="15" customHeight="1" spans="1:33">
      <c r="A29" s="63">
        <f t="shared" si="2"/>
        <v>25</v>
      </c>
      <c r="B29" s="16"/>
      <c r="C29" s="65"/>
      <c r="D29" s="65"/>
      <c r="E29" s="65"/>
      <c r="F29" s="65"/>
      <c r="G29" s="65"/>
      <c r="H29" s="66"/>
      <c r="I29" s="65"/>
      <c r="J29" s="65"/>
      <c r="K29" s="82"/>
      <c r="L29" s="65"/>
      <c r="M29" s="65"/>
      <c r="N29" s="65"/>
      <c r="O29" s="65"/>
      <c r="P29" s="65"/>
      <c r="Q29" s="65"/>
      <c r="R29" s="65"/>
      <c r="S29" s="65"/>
      <c r="T29" s="65"/>
      <c r="U29" s="100"/>
      <c r="V29" s="65"/>
      <c r="W29" s="95"/>
      <c r="X29" s="65"/>
      <c r="Y29" s="110"/>
      <c r="Z29" s="65"/>
      <c r="AA29" s="65"/>
      <c r="AB29" s="65"/>
      <c r="AC29" s="65"/>
      <c r="AD29" s="65"/>
      <c r="AE29" s="65"/>
      <c r="AF29" s="16"/>
      <c r="AG29" s="113"/>
    </row>
    <row r="30" ht="15" customHeight="1" spans="1:33">
      <c r="A30" s="63">
        <f t="shared" si="2"/>
        <v>26</v>
      </c>
      <c r="B30" s="16"/>
      <c r="C30" s="65"/>
      <c r="D30" s="65"/>
      <c r="E30" s="65"/>
      <c r="F30" s="65"/>
      <c r="G30" s="65"/>
      <c r="H30" s="66"/>
      <c r="I30" s="65"/>
      <c r="J30" s="65"/>
      <c r="K30" s="82"/>
      <c r="L30" s="65"/>
      <c r="M30" s="65"/>
      <c r="N30" s="65"/>
      <c r="O30" s="65"/>
      <c r="P30" s="65"/>
      <c r="Q30" s="65"/>
      <c r="R30" s="65"/>
      <c r="S30" s="65"/>
      <c r="T30" s="65"/>
      <c r="U30" s="100"/>
      <c r="V30" s="65"/>
      <c r="W30" s="95"/>
      <c r="X30" s="65"/>
      <c r="Y30" s="110"/>
      <c r="Z30" s="65"/>
      <c r="AA30" s="65"/>
      <c r="AB30" s="65"/>
      <c r="AC30" s="65"/>
      <c r="AD30" s="65"/>
      <c r="AE30" s="65"/>
      <c r="AF30" s="16"/>
      <c r="AG30" s="113"/>
    </row>
    <row r="31" ht="15" customHeight="1" spans="1:33">
      <c r="A31" s="63">
        <f t="shared" si="2"/>
        <v>27</v>
      </c>
      <c r="B31" s="16"/>
      <c r="C31" s="65"/>
      <c r="D31" s="65"/>
      <c r="E31" s="65"/>
      <c r="F31" s="65"/>
      <c r="G31" s="65"/>
      <c r="H31" s="66"/>
      <c r="I31" s="65"/>
      <c r="J31" s="65"/>
      <c r="K31" s="82"/>
      <c r="L31" s="65"/>
      <c r="M31" s="65"/>
      <c r="N31" s="65"/>
      <c r="O31" s="65"/>
      <c r="P31" s="65"/>
      <c r="Q31" s="65"/>
      <c r="R31" s="65"/>
      <c r="S31" s="65"/>
      <c r="T31" s="65"/>
      <c r="U31" s="100"/>
      <c r="V31" s="65"/>
      <c r="W31" s="95"/>
      <c r="X31" s="65"/>
      <c r="Y31" s="110"/>
      <c r="Z31" s="65"/>
      <c r="AA31" s="65"/>
      <c r="AB31" s="65"/>
      <c r="AC31" s="65"/>
      <c r="AD31" s="65"/>
      <c r="AE31" s="65"/>
      <c r="AF31" s="16"/>
      <c r="AG31" s="113"/>
    </row>
    <row r="32" ht="15" customHeight="1" spans="1:33">
      <c r="A32" s="63">
        <f t="shared" si="2"/>
        <v>28</v>
      </c>
      <c r="B32" s="16"/>
      <c r="C32" s="65"/>
      <c r="D32" s="65"/>
      <c r="E32" s="65"/>
      <c r="F32" s="65"/>
      <c r="G32" s="65"/>
      <c r="H32" s="66"/>
      <c r="I32" s="65"/>
      <c r="J32" s="65"/>
      <c r="K32" s="82"/>
      <c r="L32" s="65"/>
      <c r="M32" s="65"/>
      <c r="N32" s="65"/>
      <c r="O32" s="65"/>
      <c r="P32" s="65"/>
      <c r="Q32" s="65"/>
      <c r="R32" s="65"/>
      <c r="S32" s="65"/>
      <c r="T32" s="65"/>
      <c r="U32" s="100"/>
      <c r="V32" s="65"/>
      <c r="W32" s="95"/>
      <c r="X32" s="65"/>
      <c r="Y32" s="110"/>
      <c r="Z32" s="65"/>
      <c r="AA32" s="65"/>
      <c r="AB32" s="65"/>
      <c r="AC32" s="65"/>
      <c r="AD32" s="65"/>
      <c r="AE32" s="65"/>
      <c r="AF32" s="16"/>
      <c r="AG32" s="113"/>
    </row>
    <row r="33" ht="15" customHeight="1" spans="1:33">
      <c r="A33" s="63">
        <f t="shared" ref="A33:A49" si="3">ROW()-4</f>
        <v>29</v>
      </c>
      <c r="B33" s="16"/>
      <c r="C33" s="65"/>
      <c r="D33" s="65"/>
      <c r="E33" s="65"/>
      <c r="F33" s="65"/>
      <c r="G33" s="65"/>
      <c r="H33" s="66"/>
      <c r="I33" s="65"/>
      <c r="J33" s="65"/>
      <c r="K33" s="82"/>
      <c r="L33" s="65"/>
      <c r="M33" s="65"/>
      <c r="N33" s="65"/>
      <c r="O33" s="65"/>
      <c r="P33" s="65"/>
      <c r="Q33" s="65"/>
      <c r="R33" s="65"/>
      <c r="S33" s="65"/>
      <c r="T33" s="65"/>
      <c r="U33" s="100"/>
      <c r="V33" s="65"/>
      <c r="W33" s="101"/>
      <c r="X33" s="99"/>
      <c r="Y33" s="100"/>
      <c r="Z33" s="100"/>
      <c r="AA33" s="100"/>
      <c r="AB33" s="100"/>
      <c r="AC33" s="100"/>
      <c r="AD33" s="100"/>
      <c r="AE33" s="100"/>
      <c r="AF33" s="16"/>
      <c r="AG33" s="113"/>
    </row>
    <row r="34" ht="15" customHeight="1" spans="1:33">
      <c r="A34" s="63">
        <f t="shared" si="3"/>
        <v>30</v>
      </c>
      <c r="B34" s="16"/>
      <c r="C34" s="65"/>
      <c r="D34" s="65"/>
      <c r="E34" s="65"/>
      <c r="F34" s="65"/>
      <c r="G34" s="65"/>
      <c r="H34" s="66"/>
      <c r="I34" s="65"/>
      <c r="J34" s="65"/>
      <c r="K34" s="82"/>
      <c r="L34" s="65"/>
      <c r="M34" s="65"/>
      <c r="N34" s="65"/>
      <c r="O34" s="65"/>
      <c r="P34" s="65"/>
      <c r="Q34" s="65"/>
      <c r="R34" s="65"/>
      <c r="S34" s="65"/>
      <c r="T34" s="65"/>
      <c r="U34" s="100"/>
      <c r="V34" s="65"/>
      <c r="W34" s="102"/>
      <c r="X34" s="65"/>
      <c r="Y34" s="110"/>
      <c r="Z34" s="65"/>
      <c r="AA34" s="65"/>
      <c r="AB34" s="65"/>
      <c r="AC34" s="65"/>
      <c r="AD34" s="65"/>
      <c r="AE34" s="65"/>
      <c r="AF34" s="16"/>
      <c r="AG34" s="118"/>
    </row>
    <row r="35" ht="15" customHeight="1" spans="1:33">
      <c r="A35" s="63">
        <f t="shared" si="3"/>
        <v>31</v>
      </c>
      <c r="B35" s="16"/>
      <c r="C35" s="65"/>
      <c r="D35" s="65"/>
      <c r="E35" s="65"/>
      <c r="F35" s="65"/>
      <c r="G35" s="65"/>
      <c r="H35" s="66"/>
      <c r="I35" s="65"/>
      <c r="J35" s="65"/>
      <c r="K35" s="82"/>
      <c r="L35" s="65"/>
      <c r="M35" s="65"/>
      <c r="N35" s="83"/>
      <c r="O35" s="65"/>
      <c r="P35" s="65"/>
      <c r="Q35" s="65"/>
      <c r="R35" s="65"/>
      <c r="S35" s="65"/>
      <c r="T35" s="65"/>
      <c r="U35" s="100"/>
      <c r="V35" s="65"/>
      <c r="W35" s="102"/>
      <c r="X35" s="65"/>
      <c r="Y35" s="110"/>
      <c r="Z35" s="65"/>
      <c r="AA35" s="65"/>
      <c r="AB35" s="65"/>
      <c r="AC35" s="65"/>
      <c r="AD35" s="65"/>
      <c r="AE35" s="65"/>
      <c r="AF35" s="16"/>
      <c r="AG35" s="118"/>
    </row>
    <row r="36" ht="15" customHeight="1" spans="1:33">
      <c r="A36" s="63">
        <f t="shared" si="3"/>
        <v>32</v>
      </c>
      <c r="B36" s="16"/>
      <c r="C36" s="65"/>
      <c r="D36" s="65"/>
      <c r="E36" s="65"/>
      <c r="F36" s="65"/>
      <c r="G36" s="65"/>
      <c r="H36" s="66"/>
      <c r="I36" s="65"/>
      <c r="J36" s="65"/>
      <c r="K36" s="82"/>
      <c r="L36" s="65"/>
      <c r="M36" s="65"/>
      <c r="N36" s="65"/>
      <c r="O36" s="65"/>
      <c r="P36" s="65"/>
      <c r="Q36" s="65"/>
      <c r="R36" s="65"/>
      <c r="S36" s="65"/>
      <c r="T36" s="65"/>
      <c r="U36" s="100"/>
      <c r="V36" s="65"/>
      <c r="W36" s="102"/>
      <c r="X36" s="65"/>
      <c r="Y36" s="110"/>
      <c r="Z36" s="65"/>
      <c r="AA36" s="65"/>
      <c r="AB36" s="65"/>
      <c r="AC36" s="65"/>
      <c r="AD36" s="65"/>
      <c r="AE36" s="65"/>
      <c r="AF36" s="16"/>
      <c r="AG36" s="118"/>
    </row>
    <row r="37" ht="15" customHeight="1" spans="1:33">
      <c r="A37" s="63">
        <f t="shared" si="3"/>
        <v>33</v>
      </c>
      <c r="B37" s="16"/>
      <c r="C37" s="65"/>
      <c r="D37" s="65"/>
      <c r="E37" s="65"/>
      <c r="F37" s="65"/>
      <c r="G37" s="65"/>
      <c r="H37" s="65"/>
      <c r="I37" s="65"/>
      <c r="J37" s="65"/>
      <c r="K37" s="82"/>
      <c r="L37" s="65"/>
      <c r="M37" s="65"/>
      <c r="N37" s="65"/>
      <c r="O37" s="65"/>
      <c r="P37" s="65"/>
      <c r="Q37" s="65"/>
      <c r="R37" s="65"/>
      <c r="S37" s="65"/>
      <c r="T37" s="65"/>
      <c r="U37" s="100"/>
      <c r="V37" s="65"/>
      <c r="W37" s="102"/>
      <c r="X37" s="65"/>
      <c r="Y37" s="110"/>
      <c r="Z37" s="65"/>
      <c r="AA37" s="65"/>
      <c r="AB37" s="65"/>
      <c r="AC37" s="65"/>
      <c r="AD37" s="65"/>
      <c r="AE37" s="65"/>
      <c r="AF37" s="16"/>
      <c r="AG37" s="118"/>
    </row>
    <row r="38" ht="15" customHeight="1" spans="1:33">
      <c r="A38" s="63">
        <f t="shared" si="3"/>
        <v>34</v>
      </c>
      <c r="B38" s="16"/>
      <c r="C38" s="65"/>
      <c r="D38" s="65"/>
      <c r="E38" s="65"/>
      <c r="F38" s="65"/>
      <c r="G38" s="65"/>
      <c r="H38" s="65"/>
      <c r="I38" s="65"/>
      <c r="J38" s="65"/>
      <c r="K38" s="82"/>
      <c r="L38" s="65"/>
      <c r="M38" s="65"/>
      <c r="N38" s="65"/>
      <c r="O38" s="65"/>
      <c r="P38" s="65"/>
      <c r="Q38" s="65"/>
      <c r="R38" s="65"/>
      <c r="S38" s="65"/>
      <c r="T38" s="65"/>
      <c r="U38" s="100"/>
      <c r="V38" s="65"/>
      <c r="W38" s="102"/>
      <c r="X38" s="65"/>
      <c r="Y38" s="110"/>
      <c r="Z38" s="65"/>
      <c r="AA38" s="65"/>
      <c r="AB38" s="65"/>
      <c r="AC38" s="65"/>
      <c r="AD38" s="65"/>
      <c r="AE38" s="65"/>
      <c r="AF38" s="16"/>
      <c r="AG38" s="118"/>
    </row>
    <row r="39" ht="15" customHeight="1" spans="1:33">
      <c r="A39" s="63">
        <f t="shared" si="3"/>
        <v>35</v>
      </c>
      <c r="B39" s="16"/>
      <c r="C39" s="65"/>
      <c r="D39" s="65"/>
      <c r="E39" s="65"/>
      <c r="F39" s="65"/>
      <c r="G39" s="65"/>
      <c r="H39" s="65"/>
      <c r="I39" s="65"/>
      <c r="J39" s="65"/>
      <c r="K39" s="82"/>
      <c r="L39" s="65"/>
      <c r="M39" s="65"/>
      <c r="N39" s="65"/>
      <c r="O39" s="65"/>
      <c r="P39" s="65"/>
      <c r="Q39" s="65"/>
      <c r="R39" s="65"/>
      <c r="S39" s="65"/>
      <c r="T39" s="65"/>
      <c r="U39" s="100"/>
      <c r="V39" s="65"/>
      <c r="W39" s="102"/>
      <c r="X39" s="65"/>
      <c r="Y39" s="110"/>
      <c r="Z39" s="65"/>
      <c r="AA39" s="65"/>
      <c r="AB39" s="65"/>
      <c r="AC39" s="65"/>
      <c r="AD39" s="65"/>
      <c r="AE39" s="65"/>
      <c r="AF39" s="16"/>
      <c r="AG39" s="118"/>
    </row>
    <row r="40" ht="15" customHeight="1" spans="1:33">
      <c r="A40" s="63">
        <f t="shared" si="3"/>
        <v>36</v>
      </c>
      <c r="B40" s="16"/>
      <c r="C40" s="65"/>
      <c r="D40" s="65"/>
      <c r="E40" s="65"/>
      <c r="F40" s="65"/>
      <c r="G40" s="65"/>
      <c r="H40" s="65"/>
      <c r="I40" s="65"/>
      <c r="J40" s="65"/>
      <c r="K40" s="82"/>
      <c r="L40" s="65"/>
      <c r="M40" s="65"/>
      <c r="N40" s="65"/>
      <c r="O40" s="65"/>
      <c r="P40" s="65"/>
      <c r="Q40" s="65"/>
      <c r="R40" s="65"/>
      <c r="S40" s="65"/>
      <c r="T40" s="65"/>
      <c r="U40" s="100"/>
      <c r="V40" s="65"/>
      <c r="W40" s="102"/>
      <c r="X40" s="65"/>
      <c r="Y40" s="110"/>
      <c r="Z40" s="65"/>
      <c r="AA40" s="65"/>
      <c r="AB40" s="65"/>
      <c r="AC40" s="65"/>
      <c r="AD40" s="65"/>
      <c r="AE40" s="65"/>
      <c r="AF40" s="16"/>
      <c r="AG40" s="118"/>
    </row>
    <row r="41" ht="15" customHeight="1" spans="1:33">
      <c r="A41" s="63">
        <f t="shared" si="3"/>
        <v>37</v>
      </c>
      <c r="B41" s="16"/>
      <c r="C41" s="65"/>
      <c r="D41" s="65"/>
      <c r="E41" s="65"/>
      <c r="F41" s="65"/>
      <c r="G41" s="65"/>
      <c r="H41" s="65"/>
      <c r="I41" s="65"/>
      <c r="J41" s="65"/>
      <c r="K41" s="82"/>
      <c r="L41" s="65"/>
      <c r="M41" s="65"/>
      <c r="N41" s="65"/>
      <c r="O41" s="65"/>
      <c r="P41" s="65"/>
      <c r="Q41" s="65"/>
      <c r="R41" s="65"/>
      <c r="S41" s="65"/>
      <c r="T41" s="65"/>
      <c r="U41" s="100"/>
      <c r="V41" s="65"/>
      <c r="W41" s="102"/>
      <c r="X41" s="65"/>
      <c r="Y41" s="110"/>
      <c r="Z41" s="65"/>
      <c r="AA41" s="65"/>
      <c r="AB41" s="65"/>
      <c r="AC41" s="65"/>
      <c r="AD41" s="65"/>
      <c r="AE41" s="65"/>
      <c r="AF41" s="16"/>
      <c r="AG41" s="118"/>
    </row>
    <row r="42" ht="15" customHeight="1" spans="1:33">
      <c r="A42" s="63">
        <f t="shared" si="3"/>
        <v>38</v>
      </c>
      <c r="B42" s="16"/>
      <c r="C42" s="65"/>
      <c r="D42" s="65"/>
      <c r="E42" s="65"/>
      <c r="F42" s="65"/>
      <c r="G42" s="65"/>
      <c r="H42" s="65"/>
      <c r="I42" s="65"/>
      <c r="J42" s="65"/>
      <c r="K42" s="82"/>
      <c r="L42" s="65"/>
      <c r="M42" s="65"/>
      <c r="N42" s="65"/>
      <c r="O42" s="65"/>
      <c r="P42" s="65"/>
      <c r="Q42" s="65"/>
      <c r="R42" s="65"/>
      <c r="S42" s="65"/>
      <c r="T42" s="65"/>
      <c r="U42" s="100"/>
      <c r="V42" s="65"/>
      <c r="W42" s="102"/>
      <c r="X42" s="65"/>
      <c r="Y42" s="110"/>
      <c r="Z42" s="65"/>
      <c r="AA42" s="65"/>
      <c r="AB42" s="65"/>
      <c r="AC42" s="65"/>
      <c r="AD42" s="65"/>
      <c r="AE42" s="65"/>
      <c r="AF42" s="16"/>
      <c r="AG42" s="118"/>
    </row>
    <row r="43" ht="15" customHeight="1" spans="1:33">
      <c r="A43" s="63">
        <f t="shared" si="3"/>
        <v>39</v>
      </c>
      <c r="B43" s="16"/>
      <c r="C43" s="65"/>
      <c r="D43" s="65"/>
      <c r="E43" s="65"/>
      <c r="F43" s="65"/>
      <c r="G43" s="65"/>
      <c r="H43" s="65"/>
      <c r="I43" s="65"/>
      <c r="J43" s="65"/>
      <c r="K43" s="82"/>
      <c r="L43" s="65"/>
      <c r="M43" s="65"/>
      <c r="N43" s="65"/>
      <c r="O43" s="65"/>
      <c r="P43" s="65"/>
      <c r="Q43" s="65"/>
      <c r="R43" s="65"/>
      <c r="S43" s="65"/>
      <c r="T43" s="65"/>
      <c r="U43" s="100"/>
      <c r="V43" s="65"/>
      <c r="W43" s="102"/>
      <c r="X43" s="65"/>
      <c r="Y43" s="110"/>
      <c r="Z43" s="65"/>
      <c r="AA43" s="65"/>
      <c r="AB43" s="65"/>
      <c r="AC43" s="65"/>
      <c r="AD43" s="65"/>
      <c r="AE43" s="65"/>
      <c r="AF43" s="16"/>
      <c r="AG43" s="118"/>
    </row>
    <row r="44" ht="15" customHeight="1" spans="1:33">
      <c r="A44" s="63">
        <f t="shared" si="3"/>
        <v>40</v>
      </c>
      <c r="B44" s="16"/>
      <c r="C44" s="65"/>
      <c r="D44" s="65"/>
      <c r="E44" s="65"/>
      <c r="F44" s="65"/>
      <c r="G44" s="65"/>
      <c r="H44" s="65"/>
      <c r="I44" s="65"/>
      <c r="J44" s="76"/>
      <c r="K44" s="77"/>
      <c r="L44" s="65"/>
      <c r="M44" s="65"/>
      <c r="N44" s="65"/>
      <c r="O44" s="65"/>
      <c r="P44" s="65"/>
      <c r="Q44" s="65"/>
      <c r="R44" s="65"/>
      <c r="S44" s="65"/>
      <c r="T44" s="65"/>
      <c r="U44" s="100"/>
      <c r="V44" s="65"/>
      <c r="W44" s="102"/>
      <c r="X44" s="65"/>
      <c r="Y44" s="110"/>
      <c r="Z44" s="65"/>
      <c r="AA44" s="65"/>
      <c r="AB44" s="65"/>
      <c r="AC44" s="65"/>
      <c r="AD44" s="65"/>
      <c r="AE44" s="65"/>
      <c r="AF44" s="16"/>
      <c r="AG44" s="118"/>
    </row>
    <row r="45" ht="15" customHeight="1" spans="1:33">
      <c r="A45" s="63">
        <f t="shared" si="3"/>
        <v>41</v>
      </c>
      <c r="B45" s="16"/>
      <c r="C45" s="65"/>
      <c r="D45" s="65"/>
      <c r="E45" s="65"/>
      <c r="F45" s="65"/>
      <c r="G45" s="65"/>
      <c r="H45" s="65"/>
      <c r="I45" s="65"/>
      <c r="J45" s="76"/>
      <c r="K45" s="77"/>
      <c r="L45" s="65"/>
      <c r="M45" s="65"/>
      <c r="N45" s="65"/>
      <c r="O45" s="65"/>
      <c r="P45" s="65"/>
      <c r="Q45" s="65"/>
      <c r="R45" s="65"/>
      <c r="S45" s="65"/>
      <c r="T45" s="65"/>
      <c r="U45" s="100"/>
      <c r="V45" s="65"/>
      <c r="W45" s="102"/>
      <c r="X45" s="65"/>
      <c r="Y45" s="110"/>
      <c r="Z45" s="65"/>
      <c r="AA45" s="65"/>
      <c r="AB45" s="65"/>
      <c r="AC45" s="65"/>
      <c r="AD45" s="65"/>
      <c r="AE45" s="65"/>
      <c r="AF45" s="16"/>
      <c r="AG45" s="118"/>
    </row>
    <row r="46" ht="15" customHeight="1" spans="1:33">
      <c r="A46" s="63">
        <f t="shared" si="3"/>
        <v>42</v>
      </c>
      <c r="B46" s="16"/>
      <c r="C46" s="65"/>
      <c r="D46" s="65"/>
      <c r="E46" s="65"/>
      <c r="F46" s="65"/>
      <c r="G46" s="65"/>
      <c r="H46" s="65"/>
      <c r="I46" s="65"/>
      <c r="J46" s="65"/>
      <c r="K46" s="82"/>
      <c r="L46" s="65"/>
      <c r="M46" s="65"/>
      <c r="N46" s="65"/>
      <c r="O46" s="65"/>
      <c r="P46" s="65"/>
      <c r="Q46" s="65"/>
      <c r="R46" s="65"/>
      <c r="S46" s="65"/>
      <c r="T46" s="65"/>
      <c r="U46" s="100"/>
      <c r="V46" s="65"/>
      <c r="W46" s="102"/>
      <c r="X46" s="65"/>
      <c r="Y46" s="110"/>
      <c r="Z46" s="65"/>
      <c r="AA46" s="65"/>
      <c r="AB46" s="65"/>
      <c r="AC46" s="65"/>
      <c r="AD46" s="65"/>
      <c r="AE46" s="65"/>
      <c r="AF46" s="16"/>
      <c r="AG46" s="118"/>
    </row>
    <row r="47" ht="15" customHeight="1" spans="1:33">
      <c r="A47" s="63">
        <f t="shared" si="3"/>
        <v>43</v>
      </c>
      <c r="B47" s="16"/>
      <c r="C47" s="65"/>
      <c r="D47" s="65"/>
      <c r="E47" s="65"/>
      <c r="F47" s="65"/>
      <c r="G47" s="65"/>
      <c r="H47" s="65"/>
      <c r="I47" s="65"/>
      <c r="J47" s="65"/>
      <c r="K47" s="82"/>
      <c r="L47" s="65"/>
      <c r="M47" s="65"/>
      <c r="N47" s="65"/>
      <c r="O47" s="65"/>
      <c r="P47" s="65"/>
      <c r="Q47" s="65"/>
      <c r="R47" s="65"/>
      <c r="S47" s="65"/>
      <c r="T47" s="65"/>
      <c r="U47" s="100"/>
      <c r="V47" s="65"/>
      <c r="W47" s="102"/>
      <c r="X47" s="65"/>
      <c r="Y47" s="110"/>
      <c r="Z47" s="65"/>
      <c r="AA47" s="65"/>
      <c r="AB47" s="65"/>
      <c r="AC47" s="65"/>
      <c r="AD47" s="65"/>
      <c r="AE47" s="65"/>
      <c r="AF47" s="16"/>
      <c r="AG47" s="118"/>
    </row>
    <row r="48" ht="15" customHeight="1" spans="1:33">
      <c r="A48" s="63">
        <f t="shared" si="3"/>
        <v>44</v>
      </c>
      <c r="B48" s="16"/>
      <c r="C48" s="65"/>
      <c r="D48" s="65"/>
      <c r="E48" s="65"/>
      <c r="F48" s="65"/>
      <c r="G48" s="65"/>
      <c r="H48" s="65"/>
      <c r="I48" s="65"/>
      <c r="J48" s="65"/>
      <c r="K48" s="77"/>
      <c r="L48" s="65"/>
      <c r="M48" s="65"/>
      <c r="N48" s="65"/>
      <c r="O48" s="65"/>
      <c r="P48" s="65"/>
      <c r="Q48" s="65"/>
      <c r="R48" s="65"/>
      <c r="S48" s="65"/>
      <c r="T48" s="65"/>
      <c r="U48" s="100"/>
      <c r="V48" s="65"/>
      <c r="W48" s="102"/>
      <c r="X48" s="65"/>
      <c r="Y48" s="110"/>
      <c r="Z48" s="65"/>
      <c r="AA48" s="65"/>
      <c r="AB48" s="65"/>
      <c r="AC48" s="65"/>
      <c r="AD48" s="65"/>
      <c r="AE48" s="65"/>
      <c r="AF48" s="16"/>
      <c r="AG48" s="118"/>
    </row>
    <row r="49" ht="15" customHeight="1" spans="1:33">
      <c r="A49" s="63">
        <f t="shared" si="3"/>
        <v>45</v>
      </c>
      <c r="B49" s="16"/>
      <c r="C49" s="70"/>
      <c r="D49" s="70"/>
      <c r="E49" s="70"/>
      <c r="F49" s="70"/>
      <c r="G49" s="70"/>
      <c r="H49" s="70"/>
      <c r="I49" s="70"/>
      <c r="J49" s="70"/>
      <c r="K49" s="84"/>
      <c r="L49" s="70"/>
      <c r="M49" s="70"/>
      <c r="N49" s="70"/>
      <c r="O49" s="70"/>
      <c r="P49" s="70"/>
      <c r="Q49" s="70"/>
      <c r="R49" s="70"/>
      <c r="S49" s="70"/>
      <c r="T49" s="70"/>
      <c r="U49" s="103"/>
      <c r="V49" s="70"/>
      <c r="W49" s="104"/>
      <c r="X49" s="70"/>
      <c r="Y49" s="111"/>
      <c r="Z49" s="70"/>
      <c r="AA49" s="70"/>
      <c r="AB49" s="70"/>
      <c r="AC49" s="70"/>
      <c r="AD49" s="70"/>
      <c r="AE49" s="70"/>
      <c r="AF49" s="16"/>
      <c r="AG49" s="119"/>
    </row>
    <row r="50" ht="15" customHeight="1" spans="1:33">
      <c r="A50" s="63">
        <f t="shared" ref="A50:A60" si="4">ROW()-4</f>
        <v>46</v>
      </c>
      <c r="B50" s="16"/>
      <c r="C50" s="70"/>
      <c r="D50" s="70"/>
      <c r="E50" s="70"/>
      <c r="F50" s="70"/>
      <c r="G50" s="70"/>
      <c r="H50" s="70"/>
      <c r="I50" s="70"/>
      <c r="J50" s="70"/>
      <c r="K50" s="84"/>
      <c r="L50" s="70"/>
      <c r="M50" s="70"/>
      <c r="N50" s="70"/>
      <c r="O50" s="70"/>
      <c r="P50" s="70"/>
      <c r="Q50" s="70"/>
      <c r="R50" s="70"/>
      <c r="S50" s="70"/>
      <c r="T50" s="70"/>
      <c r="U50" s="103"/>
      <c r="V50" s="70"/>
      <c r="W50" s="104"/>
      <c r="X50" s="70"/>
      <c r="Y50" s="111"/>
      <c r="Z50" s="70"/>
      <c r="AA50" s="70"/>
      <c r="AB50" s="70"/>
      <c r="AC50" s="70"/>
      <c r="AD50" s="70"/>
      <c r="AE50" s="70"/>
      <c r="AF50" s="16"/>
      <c r="AG50" s="119"/>
    </row>
    <row r="51" ht="15" customHeight="1" spans="1:33">
      <c r="A51" s="63">
        <f t="shared" si="4"/>
        <v>47</v>
      </c>
      <c r="B51" s="16"/>
      <c r="C51" s="70"/>
      <c r="D51" s="70"/>
      <c r="E51" s="70"/>
      <c r="F51" s="70"/>
      <c r="G51" s="70"/>
      <c r="H51" s="70"/>
      <c r="I51" s="70"/>
      <c r="J51" s="70"/>
      <c r="K51" s="85"/>
      <c r="L51" s="70"/>
      <c r="M51" s="70"/>
      <c r="N51" s="70"/>
      <c r="O51" s="70"/>
      <c r="P51" s="70"/>
      <c r="Q51" s="70"/>
      <c r="R51" s="70"/>
      <c r="S51" s="70"/>
      <c r="T51" s="70"/>
      <c r="U51" s="103"/>
      <c r="V51" s="70"/>
      <c r="W51" s="104"/>
      <c r="X51" s="70"/>
      <c r="Y51" s="111"/>
      <c r="Z51" s="70"/>
      <c r="AA51" s="70"/>
      <c r="AB51" s="70"/>
      <c r="AC51" s="70"/>
      <c r="AD51" s="70"/>
      <c r="AE51" s="70"/>
      <c r="AF51" s="16"/>
      <c r="AG51" s="119"/>
    </row>
    <row r="52" ht="15" customHeight="1" spans="1:33">
      <c r="A52" s="63">
        <f t="shared" si="4"/>
        <v>48</v>
      </c>
      <c r="B52" s="16"/>
      <c r="C52" s="70"/>
      <c r="D52" s="70"/>
      <c r="E52" s="70"/>
      <c r="F52" s="70"/>
      <c r="G52" s="70"/>
      <c r="H52" s="70"/>
      <c r="I52" s="70"/>
      <c r="J52" s="70"/>
      <c r="K52" s="86"/>
      <c r="L52" s="70"/>
      <c r="M52" s="70"/>
      <c r="N52" s="70"/>
      <c r="O52" s="70"/>
      <c r="P52" s="70"/>
      <c r="Q52" s="70"/>
      <c r="R52" s="70"/>
      <c r="S52" s="70"/>
      <c r="T52" s="70"/>
      <c r="U52" s="103"/>
      <c r="V52" s="70"/>
      <c r="W52" s="104"/>
      <c r="X52" s="70"/>
      <c r="Y52" s="111"/>
      <c r="Z52" s="70"/>
      <c r="AA52" s="70"/>
      <c r="AB52" s="70"/>
      <c r="AC52" s="70"/>
      <c r="AD52" s="70"/>
      <c r="AE52" s="70"/>
      <c r="AF52" s="16"/>
      <c r="AG52" s="119"/>
    </row>
    <row r="53" ht="15" customHeight="1" spans="1:33">
      <c r="A53" s="63">
        <f t="shared" si="4"/>
        <v>49</v>
      </c>
      <c r="B53" s="16"/>
      <c r="C53" s="70"/>
      <c r="D53" s="70"/>
      <c r="E53" s="70"/>
      <c r="F53" s="70"/>
      <c r="G53" s="70"/>
      <c r="H53" s="70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105"/>
      <c r="V53" s="87"/>
      <c r="W53" s="104"/>
      <c r="X53" s="70"/>
      <c r="Y53" s="88"/>
      <c r="Z53" s="88"/>
      <c r="AA53" s="88"/>
      <c r="AB53" s="88"/>
      <c r="AC53" s="88"/>
      <c r="AD53" s="112"/>
      <c r="AE53" s="88"/>
      <c r="AF53" s="16"/>
      <c r="AG53" s="119"/>
    </row>
    <row r="54" ht="15" customHeight="1" spans="1:33">
      <c r="A54" s="63">
        <f t="shared" si="4"/>
        <v>50</v>
      </c>
      <c r="B54" s="16"/>
      <c r="C54" s="70"/>
      <c r="D54" s="70"/>
      <c r="E54" s="70"/>
      <c r="F54" s="70"/>
      <c r="G54" s="70"/>
      <c r="H54" s="70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105"/>
      <c r="V54" s="87"/>
      <c r="W54" s="104"/>
      <c r="X54" s="70"/>
      <c r="Y54" s="88"/>
      <c r="Z54" s="88"/>
      <c r="AA54" s="88"/>
      <c r="AB54" s="88"/>
      <c r="AC54" s="88"/>
      <c r="AD54" s="88"/>
      <c r="AE54" s="88"/>
      <c r="AF54" s="16"/>
      <c r="AG54" s="119"/>
    </row>
    <row r="55" ht="15" customHeight="1" spans="1:33">
      <c r="A55" s="63">
        <f t="shared" si="4"/>
        <v>51</v>
      </c>
      <c r="B55" s="16"/>
      <c r="C55" s="70"/>
      <c r="D55" s="70"/>
      <c r="E55" s="70"/>
      <c r="F55" s="70"/>
      <c r="G55" s="70"/>
      <c r="H55" s="70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105"/>
      <c r="V55" s="87"/>
      <c r="W55" s="104"/>
      <c r="X55" s="70"/>
      <c r="Y55" s="88"/>
      <c r="Z55" s="88"/>
      <c r="AA55" s="88"/>
      <c r="AB55" s="88"/>
      <c r="AC55" s="88"/>
      <c r="AD55" s="88"/>
      <c r="AE55" s="88"/>
      <c r="AF55" s="16"/>
      <c r="AG55" s="120"/>
    </row>
    <row r="56" ht="15" customHeight="1" spans="1:33">
      <c r="A56" s="63">
        <f t="shared" si="4"/>
        <v>52</v>
      </c>
      <c r="B56" s="16"/>
      <c r="C56" s="70"/>
      <c r="D56" s="70"/>
      <c r="E56" s="70"/>
      <c r="F56" s="70"/>
      <c r="G56" s="70"/>
      <c r="H56" s="70"/>
      <c r="I56" s="70"/>
      <c r="J56" s="87"/>
      <c r="K56" s="84"/>
      <c r="L56" s="70"/>
      <c r="M56" s="70"/>
      <c r="N56" s="70"/>
      <c r="O56" s="70"/>
      <c r="P56" s="70"/>
      <c r="Q56" s="70"/>
      <c r="R56" s="70"/>
      <c r="S56" s="70"/>
      <c r="T56" s="70"/>
      <c r="U56" s="103"/>
      <c r="V56" s="70"/>
      <c r="W56" s="104"/>
      <c r="X56" s="70"/>
      <c r="Y56" s="111"/>
      <c r="Z56" s="70"/>
      <c r="AA56" s="70"/>
      <c r="AB56" s="70"/>
      <c r="AC56" s="70"/>
      <c r="AD56" s="70"/>
      <c r="AE56" s="70"/>
      <c r="AF56" s="16"/>
      <c r="AG56" s="119"/>
    </row>
    <row r="57" ht="15" customHeight="1" spans="1:33">
      <c r="A57" s="63">
        <f t="shared" si="4"/>
        <v>53</v>
      </c>
      <c r="B57" s="16"/>
      <c r="C57" s="70"/>
      <c r="D57" s="70"/>
      <c r="E57" s="70"/>
      <c r="F57" s="70"/>
      <c r="G57" s="70"/>
      <c r="H57" s="70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106"/>
      <c r="V57" s="87"/>
      <c r="W57" s="104"/>
      <c r="X57" s="70"/>
      <c r="Y57" s="88"/>
      <c r="Z57" s="88"/>
      <c r="AA57" s="88"/>
      <c r="AB57" s="88"/>
      <c r="AC57" s="88"/>
      <c r="AD57" s="88"/>
      <c r="AE57" s="88"/>
      <c r="AF57" s="16"/>
      <c r="AG57" s="119"/>
    </row>
    <row r="58" ht="15" customHeight="1" spans="1:33">
      <c r="A58" s="63">
        <f t="shared" si="4"/>
        <v>54</v>
      </c>
      <c r="B58" s="16"/>
      <c r="C58" s="70"/>
      <c r="D58" s="70"/>
      <c r="E58" s="70"/>
      <c r="F58" s="70"/>
      <c r="G58" s="70"/>
      <c r="H58" s="70"/>
      <c r="I58" s="70"/>
      <c r="J58" s="70"/>
      <c r="K58" s="86"/>
      <c r="L58" s="70"/>
      <c r="M58" s="70"/>
      <c r="N58" s="70"/>
      <c r="O58" s="70"/>
      <c r="P58" s="70"/>
      <c r="Q58" s="70"/>
      <c r="R58" s="70"/>
      <c r="S58" s="70"/>
      <c r="T58" s="70"/>
      <c r="U58" s="103"/>
      <c r="V58" s="70"/>
      <c r="W58" s="104"/>
      <c r="X58" s="70"/>
      <c r="Y58" s="111"/>
      <c r="Z58" s="70"/>
      <c r="AA58" s="70"/>
      <c r="AB58" s="70"/>
      <c r="AC58" s="70"/>
      <c r="AD58" s="70"/>
      <c r="AE58" s="70"/>
      <c r="AF58" s="16"/>
      <c r="AG58" s="119"/>
    </row>
    <row r="59" ht="15" customHeight="1" spans="1:33">
      <c r="A59" s="63">
        <f t="shared" si="4"/>
        <v>55</v>
      </c>
      <c r="B59" s="16"/>
      <c r="C59" s="70"/>
      <c r="D59" s="70"/>
      <c r="E59" s="70"/>
      <c r="F59" s="70"/>
      <c r="G59" s="70"/>
      <c r="H59" s="70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107"/>
      <c r="V59" s="88"/>
      <c r="W59" s="104"/>
      <c r="X59" s="70"/>
      <c r="Y59" s="88"/>
      <c r="Z59" s="88"/>
      <c r="AA59" s="88"/>
      <c r="AB59" s="88"/>
      <c r="AC59" s="88"/>
      <c r="AD59" s="88"/>
      <c r="AE59" s="88"/>
      <c r="AF59" s="16"/>
      <c r="AG59" s="119"/>
    </row>
    <row r="60" ht="15" customHeight="1" spans="1:33">
      <c r="A60" s="63">
        <f t="shared" si="4"/>
        <v>56</v>
      </c>
      <c r="B60" s="16"/>
      <c r="C60" s="70"/>
      <c r="D60" s="70"/>
      <c r="E60" s="70"/>
      <c r="F60" s="70"/>
      <c r="G60" s="70"/>
      <c r="H60" s="70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105"/>
      <c r="V60" s="87"/>
      <c r="W60" s="104"/>
      <c r="X60" s="70"/>
      <c r="Y60" s="88"/>
      <c r="Z60" s="88"/>
      <c r="AA60" s="88"/>
      <c r="AB60" s="88"/>
      <c r="AC60" s="88"/>
      <c r="AD60" s="88"/>
      <c r="AE60" s="88"/>
      <c r="AF60" s="16"/>
      <c r="AG60" s="119"/>
    </row>
    <row r="61" ht="15" customHeight="1" spans="1:33">
      <c r="A61" s="63">
        <f t="shared" ref="A61:A72" si="5">ROW()-4</f>
        <v>57</v>
      </c>
      <c r="B61" s="16"/>
      <c r="C61" s="70"/>
      <c r="D61" s="70"/>
      <c r="E61" s="70"/>
      <c r="F61" s="70"/>
      <c r="G61" s="70"/>
      <c r="H61" s="70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105"/>
      <c r="V61" s="87"/>
      <c r="W61" s="104"/>
      <c r="X61" s="70"/>
      <c r="Y61" s="88"/>
      <c r="Z61" s="88"/>
      <c r="AA61" s="88"/>
      <c r="AB61" s="88"/>
      <c r="AC61" s="88"/>
      <c r="AD61" s="88"/>
      <c r="AE61" s="88"/>
      <c r="AF61" s="16"/>
      <c r="AG61" s="119"/>
    </row>
    <row r="62" ht="15" customHeight="1" spans="1:33">
      <c r="A62" s="63">
        <f t="shared" si="5"/>
        <v>58</v>
      </c>
      <c r="B62" s="16"/>
      <c r="C62" s="70"/>
      <c r="D62" s="70"/>
      <c r="E62" s="70"/>
      <c r="F62" s="70"/>
      <c r="G62" s="70"/>
      <c r="H62" s="70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105"/>
      <c r="V62" s="87"/>
      <c r="W62" s="104"/>
      <c r="X62" s="70"/>
      <c r="Y62" s="88"/>
      <c r="Z62" s="88"/>
      <c r="AA62" s="88"/>
      <c r="AB62" s="88"/>
      <c r="AC62" s="88"/>
      <c r="AD62" s="88"/>
      <c r="AE62" s="88"/>
      <c r="AF62" s="16"/>
      <c r="AG62" s="119"/>
    </row>
    <row r="63" ht="15" customHeight="1" spans="1:33">
      <c r="A63" s="63">
        <f t="shared" si="5"/>
        <v>59</v>
      </c>
      <c r="B63" s="16"/>
      <c r="C63" s="70"/>
      <c r="D63" s="70"/>
      <c r="E63" s="70"/>
      <c r="F63" s="70"/>
      <c r="G63" s="70"/>
      <c r="H63" s="70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105"/>
      <c r="V63" s="87"/>
      <c r="W63" s="104"/>
      <c r="X63" s="70"/>
      <c r="Y63" s="88"/>
      <c r="Z63" s="88"/>
      <c r="AA63" s="88"/>
      <c r="AB63" s="88"/>
      <c r="AC63" s="88"/>
      <c r="AD63" s="88"/>
      <c r="AE63" s="88"/>
      <c r="AF63" s="16"/>
      <c r="AG63" s="119"/>
    </row>
    <row r="64" ht="15" customHeight="1" spans="1:33">
      <c r="A64" s="63">
        <f t="shared" si="5"/>
        <v>60</v>
      </c>
      <c r="B64" s="16"/>
      <c r="C64" s="70"/>
      <c r="D64" s="70"/>
      <c r="E64" s="70"/>
      <c r="F64" s="70"/>
      <c r="G64" s="70"/>
      <c r="H64" s="71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105"/>
      <c r="V64" s="87"/>
      <c r="W64" s="104"/>
      <c r="X64" s="70"/>
      <c r="Y64" s="88"/>
      <c r="Z64" s="88"/>
      <c r="AA64" s="88"/>
      <c r="AB64" s="88"/>
      <c r="AC64" s="88"/>
      <c r="AD64" s="88"/>
      <c r="AE64" s="88"/>
      <c r="AF64" s="16"/>
      <c r="AG64" s="119"/>
    </row>
    <row r="65" ht="15" customHeight="1" spans="1:33">
      <c r="A65" s="63">
        <f t="shared" si="5"/>
        <v>61</v>
      </c>
      <c r="B65" s="16"/>
      <c r="C65" s="70"/>
      <c r="D65" s="70"/>
      <c r="E65" s="70"/>
      <c r="F65" s="70"/>
      <c r="G65" s="70"/>
      <c r="H65" s="70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105"/>
      <c r="V65" s="87"/>
      <c r="W65" s="104"/>
      <c r="X65" s="70"/>
      <c r="Y65" s="88"/>
      <c r="Z65" s="88"/>
      <c r="AA65" s="88"/>
      <c r="AB65" s="88"/>
      <c r="AC65" s="88"/>
      <c r="AD65" s="88"/>
      <c r="AE65" s="88"/>
      <c r="AF65" s="16"/>
      <c r="AG65" s="129"/>
    </row>
    <row r="66" ht="15" customHeight="1" spans="1:33">
      <c r="A66" s="63">
        <f t="shared" si="5"/>
        <v>62</v>
      </c>
      <c r="B66" s="16"/>
      <c r="C66" s="70"/>
      <c r="D66" s="70"/>
      <c r="E66" s="70"/>
      <c r="F66" s="70"/>
      <c r="G66" s="70"/>
      <c r="H66" s="70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105"/>
      <c r="V66" s="87"/>
      <c r="W66" s="104"/>
      <c r="X66" s="88"/>
      <c r="Y66" s="88"/>
      <c r="Z66" s="88"/>
      <c r="AA66" s="88"/>
      <c r="AB66" s="88"/>
      <c r="AC66" s="88"/>
      <c r="AD66" s="88"/>
      <c r="AE66" s="88"/>
      <c r="AF66" s="16"/>
      <c r="AG66" s="129"/>
    </row>
    <row r="67" ht="15" customHeight="1" spans="1:33">
      <c r="A67" s="63">
        <f t="shared" si="5"/>
        <v>63</v>
      </c>
      <c r="B67" s="16"/>
      <c r="C67" s="70"/>
      <c r="D67" s="70"/>
      <c r="E67" s="70"/>
      <c r="F67" s="70"/>
      <c r="G67" s="70"/>
      <c r="H67" s="70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105"/>
      <c r="V67" s="87"/>
      <c r="W67" s="104"/>
      <c r="X67" s="70"/>
      <c r="Y67" s="88"/>
      <c r="Z67" s="88"/>
      <c r="AA67" s="88"/>
      <c r="AB67" s="88"/>
      <c r="AC67" s="88"/>
      <c r="AD67" s="88"/>
      <c r="AE67" s="88"/>
      <c r="AF67" s="16"/>
      <c r="AG67" s="129"/>
    </row>
    <row r="68" ht="15" customHeight="1" spans="1:33">
      <c r="A68" s="63">
        <f t="shared" si="5"/>
        <v>64</v>
      </c>
      <c r="B68" s="16"/>
      <c r="C68" s="70"/>
      <c r="D68" s="70"/>
      <c r="E68" s="70"/>
      <c r="F68" s="70"/>
      <c r="G68" s="70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105"/>
      <c r="V68" s="87"/>
      <c r="W68" s="104"/>
      <c r="X68" s="70"/>
      <c r="Y68" s="88"/>
      <c r="Z68" s="88"/>
      <c r="AA68" s="88"/>
      <c r="AB68" s="88"/>
      <c r="AC68" s="88"/>
      <c r="AD68" s="88"/>
      <c r="AE68" s="88"/>
      <c r="AF68" s="16"/>
      <c r="AG68" s="129"/>
    </row>
    <row r="69" ht="15" customHeight="1" spans="1:33">
      <c r="A69" s="63">
        <f t="shared" si="5"/>
        <v>65</v>
      </c>
      <c r="B69" s="16"/>
      <c r="C69" s="70"/>
      <c r="D69" s="70"/>
      <c r="E69" s="70"/>
      <c r="F69" s="70"/>
      <c r="G69" s="70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105"/>
      <c r="V69" s="87"/>
      <c r="W69" s="104"/>
      <c r="X69" s="70"/>
      <c r="Y69" s="88"/>
      <c r="Z69" s="88"/>
      <c r="AA69" s="88"/>
      <c r="AB69" s="88"/>
      <c r="AC69" s="88"/>
      <c r="AD69" s="88"/>
      <c r="AE69" s="88"/>
      <c r="AF69" s="16"/>
      <c r="AG69" s="119"/>
    </row>
    <row r="70" ht="15" customHeight="1" spans="1:33">
      <c r="A70" s="63">
        <f t="shared" si="5"/>
        <v>66</v>
      </c>
      <c r="B70" s="16"/>
      <c r="C70" s="70"/>
      <c r="D70" s="70"/>
      <c r="E70" s="70"/>
      <c r="F70" s="70"/>
      <c r="G70" s="70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105"/>
      <c r="V70" s="87"/>
      <c r="W70" s="104"/>
      <c r="X70" s="70"/>
      <c r="Y70" s="88"/>
      <c r="Z70" s="88"/>
      <c r="AA70" s="88"/>
      <c r="AB70" s="88"/>
      <c r="AC70" s="88"/>
      <c r="AD70" s="88"/>
      <c r="AE70" s="88"/>
      <c r="AF70" s="16"/>
      <c r="AG70" s="118"/>
    </row>
    <row r="71" ht="15" customHeight="1" spans="1:33">
      <c r="A71" s="63">
        <f t="shared" si="5"/>
        <v>67</v>
      </c>
      <c r="B71" s="16"/>
      <c r="C71" s="70"/>
      <c r="D71" s="70"/>
      <c r="E71" s="70"/>
      <c r="F71" s="70"/>
      <c r="G71" s="70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105"/>
      <c r="V71" s="87"/>
      <c r="W71" s="104"/>
      <c r="X71" s="70"/>
      <c r="Y71" s="88"/>
      <c r="Z71" s="88"/>
      <c r="AA71" s="88"/>
      <c r="AB71" s="88"/>
      <c r="AC71" s="88"/>
      <c r="AD71" s="88"/>
      <c r="AE71" s="88"/>
      <c r="AF71" s="16"/>
      <c r="AG71" s="118"/>
    </row>
    <row r="72" ht="15" customHeight="1" spans="1:33">
      <c r="A72" s="63">
        <f t="shared" si="5"/>
        <v>68</v>
      </c>
      <c r="B72" s="16"/>
      <c r="C72" s="70"/>
      <c r="D72" s="70"/>
      <c r="E72" s="70"/>
      <c r="F72" s="70"/>
      <c r="G72" s="70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105"/>
      <c r="V72" s="87"/>
      <c r="W72" s="104"/>
      <c r="X72" s="123"/>
      <c r="Y72" s="88"/>
      <c r="Z72" s="88"/>
      <c r="AA72" s="88"/>
      <c r="AB72" s="88"/>
      <c r="AC72" s="88"/>
      <c r="AD72" s="88"/>
      <c r="AE72" s="88"/>
      <c r="AF72" s="16"/>
      <c r="AG72" s="118"/>
    </row>
    <row r="73" ht="15" customHeight="1" spans="1:33">
      <c r="A73" s="63">
        <f t="shared" ref="A73:A83" si="6">ROW()-4</f>
        <v>69</v>
      </c>
      <c r="B73" s="16"/>
      <c r="C73" s="70"/>
      <c r="D73" s="70"/>
      <c r="E73" s="70"/>
      <c r="F73" s="70"/>
      <c r="G73" s="70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105"/>
      <c r="V73" s="87"/>
      <c r="W73" s="104"/>
      <c r="X73" s="70"/>
      <c r="Y73" s="88"/>
      <c r="Z73" s="88"/>
      <c r="AA73" s="88"/>
      <c r="AB73" s="88"/>
      <c r="AC73" s="88"/>
      <c r="AD73" s="88"/>
      <c r="AE73" s="88"/>
      <c r="AF73" s="16"/>
      <c r="AG73" s="118"/>
    </row>
    <row r="74" ht="15" customHeight="1" spans="1:33">
      <c r="A74" s="63">
        <f t="shared" si="6"/>
        <v>70</v>
      </c>
      <c r="B74" s="16"/>
      <c r="C74" s="70"/>
      <c r="D74" s="70"/>
      <c r="E74" s="70"/>
      <c r="F74" s="70"/>
      <c r="G74" s="70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105"/>
      <c r="V74" s="87"/>
      <c r="W74" s="104"/>
      <c r="X74" s="70"/>
      <c r="Y74" s="88"/>
      <c r="Z74" s="88"/>
      <c r="AA74" s="88"/>
      <c r="AB74" s="88"/>
      <c r="AC74" s="88"/>
      <c r="AD74" s="88"/>
      <c r="AE74" s="88"/>
      <c r="AF74" s="16"/>
      <c r="AG74" s="118"/>
    </row>
    <row r="75" ht="15" customHeight="1" spans="1:33">
      <c r="A75" s="63">
        <f t="shared" si="6"/>
        <v>71</v>
      </c>
      <c r="B75" s="16"/>
      <c r="C75" s="70"/>
      <c r="D75" s="70"/>
      <c r="E75" s="70"/>
      <c r="F75" s="70"/>
      <c r="G75" s="70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105"/>
      <c r="V75" s="87"/>
      <c r="W75" s="104"/>
      <c r="X75" s="70"/>
      <c r="Y75" s="88"/>
      <c r="Z75" s="88"/>
      <c r="AA75" s="88"/>
      <c r="AB75" s="88"/>
      <c r="AC75" s="88"/>
      <c r="AD75" s="88"/>
      <c r="AE75" s="88"/>
      <c r="AF75" s="16"/>
      <c r="AG75" s="118"/>
    </row>
    <row r="76" ht="15" customHeight="1" spans="1:33">
      <c r="A76" s="63">
        <f t="shared" si="6"/>
        <v>72</v>
      </c>
      <c r="B76" s="16"/>
      <c r="C76" s="70"/>
      <c r="D76" s="70"/>
      <c r="E76" s="70"/>
      <c r="F76" s="70"/>
      <c r="G76" s="70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105"/>
      <c r="V76" s="87"/>
      <c r="W76" s="104"/>
      <c r="X76" s="70"/>
      <c r="Y76" s="88"/>
      <c r="Z76" s="88"/>
      <c r="AA76" s="88"/>
      <c r="AB76" s="88"/>
      <c r="AC76" s="88"/>
      <c r="AD76" s="88"/>
      <c r="AE76" s="88"/>
      <c r="AF76" s="16"/>
      <c r="AG76" s="118"/>
    </row>
    <row r="77" ht="15" customHeight="1" spans="1:33">
      <c r="A77" s="63">
        <f t="shared" si="6"/>
        <v>73</v>
      </c>
      <c r="B77" s="16"/>
      <c r="C77" s="70"/>
      <c r="D77" s="70"/>
      <c r="E77" s="70"/>
      <c r="F77" s="70"/>
      <c r="G77" s="70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105"/>
      <c r="V77" s="87"/>
      <c r="W77" s="104"/>
      <c r="X77" s="70"/>
      <c r="Y77" s="112"/>
      <c r="Z77" s="88"/>
      <c r="AA77" s="88"/>
      <c r="AB77" s="88"/>
      <c r="AC77" s="88"/>
      <c r="AD77" s="88"/>
      <c r="AE77" s="88"/>
      <c r="AF77" s="16"/>
      <c r="AG77" s="118"/>
    </row>
    <row r="78" ht="15" customHeight="1" spans="1:33">
      <c r="A78" s="63">
        <f t="shared" si="6"/>
        <v>74</v>
      </c>
      <c r="B78" s="16"/>
      <c r="C78" s="70"/>
      <c r="D78" s="70"/>
      <c r="E78" s="70"/>
      <c r="F78" s="70"/>
      <c r="G78" s="70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105"/>
      <c r="V78" s="87"/>
      <c r="W78" s="104"/>
      <c r="X78" s="70"/>
      <c r="Y78" s="88"/>
      <c r="Z78" s="88"/>
      <c r="AA78" s="88"/>
      <c r="AB78" s="88"/>
      <c r="AC78" s="88"/>
      <c r="AD78" s="88"/>
      <c r="AE78" s="88"/>
      <c r="AF78" s="16"/>
      <c r="AG78" s="130"/>
    </row>
    <row r="79" ht="15" customHeight="1" spans="1:33">
      <c r="A79" s="63">
        <f t="shared" si="6"/>
        <v>75</v>
      </c>
      <c r="B79" s="16"/>
      <c r="C79" s="70"/>
      <c r="D79" s="70"/>
      <c r="E79" s="70"/>
      <c r="F79" s="70"/>
      <c r="G79" s="70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105"/>
      <c r="V79" s="87"/>
      <c r="W79" s="104"/>
      <c r="X79" s="70"/>
      <c r="Y79" s="88"/>
      <c r="Z79" s="88"/>
      <c r="AA79" s="88"/>
      <c r="AB79" s="88"/>
      <c r="AC79" s="88"/>
      <c r="AD79" s="88"/>
      <c r="AE79" s="88"/>
      <c r="AF79" s="16"/>
      <c r="AG79" s="130"/>
    </row>
    <row r="80" ht="15" customHeight="1" spans="1:33">
      <c r="A80" s="63">
        <f t="shared" si="6"/>
        <v>76</v>
      </c>
      <c r="B80" s="16"/>
      <c r="C80" s="70"/>
      <c r="D80" s="70"/>
      <c r="E80" s="70"/>
      <c r="F80" s="70"/>
      <c r="G80" s="70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105"/>
      <c r="V80" s="87"/>
      <c r="W80" s="104"/>
      <c r="X80" s="70"/>
      <c r="Y80" s="88"/>
      <c r="Z80" s="88"/>
      <c r="AA80" s="88"/>
      <c r="AB80" s="88"/>
      <c r="AC80" s="88"/>
      <c r="AD80" s="88"/>
      <c r="AE80" s="88"/>
      <c r="AF80" s="16"/>
      <c r="AG80" s="130"/>
    </row>
    <row r="81" ht="15" customHeight="1" spans="1:33">
      <c r="A81" s="63">
        <f t="shared" si="6"/>
        <v>77</v>
      </c>
      <c r="B81" s="16"/>
      <c r="C81" s="70"/>
      <c r="D81" s="70"/>
      <c r="E81" s="70"/>
      <c r="F81" s="70"/>
      <c r="G81" s="70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105"/>
      <c r="V81" s="87"/>
      <c r="W81" s="104"/>
      <c r="X81" s="70"/>
      <c r="Y81" s="88"/>
      <c r="Z81" s="88"/>
      <c r="AA81" s="88"/>
      <c r="AB81" s="88"/>
      <c r="AC81" s="112"/>
      <c r="AD81" s="88"/>
      <c r="AE81" s="88"/>
      <c r="AF81" s="16"/>
      <c r="AG81" s="130"/>
    </row>
    <row r="82" ht="15" customHeight="1" spans="1:33">
      <c r="A82" s="63">
        <f t="shared" si="6"/>
        <v>78</v>
      </c>
      <c r="B82" s="16"/>
      <c r="C82" s="70"/>
      <c r="D82" s="70"/>
      <c r="E82" s="70"/>
      <c r="F82" s="70"/>
      <c r="G82" s="70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105"/>
      <c r="V82" s="87"/>
      <c r="W82" s="104"/>
      <c r="X82" s="70"/>
      <c r="Y82" s="88"/>
      <c r="Z82" s="88"/>
      <c r="AA82" s="88"/>
      <c r="AB82" s="88"/>
      <c r="AC82" s="88"/>
      <c r="AD82" s="88"/>
      <c r="AE82" s="88"/>
      <c r="AF82" s="16"/>
      <c r="AG82" s="130"/>
    </row>
    <row r="83" ht="15" customHeight="1" spans="1:33">
      <c r="A83" s="63">
        <f t="shared" si="6"/>
        <v>79</v>
      </c>
      <c r="B83" s="16"/>
      <c r="C83" s="121"/>
      <c r="D83" s="121"/>
      <c r="E83" s="121"/>
      <c r="F83" s="121"/>
      <c r="G83" s="121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4"/>
      <c r="V83" s="122"/>
      <c r="W83" s="125"/>
      <c r="X83" s="121"/>
      <c r="Y83" s="128"/>
      <c r="Z83" s="128"/>
      <c r="AA83" s="128"/>
      <c r="AB83" s="128"/>
      <c r="AC83" s="128"/>
      <c r="AD83" s="128"/>
      <c r="AE83" s="128"/>
      <c r="AF83" s="16"/>
      <c r="AG83" s="130"/>
    </row>
    <row r="84" ht="15" customHeight="1" spans="1:33">
      <c r="A84" s="63">
        <f t="shared" ref="A84:A93" si="7">ROW()-4</f>
        <v>80</v>
      </c>
      <c r="B84" s="16"/>
      <c r="C84" s="121"/>
      <c r="D84" s="121"/>
      <c r="E84" s="121"/>
      <c r="F84" s="121"/>
      <c r="G84" s="121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4"/>
      <c r="V84" s="122"/>
      <c r="W84" s="125"/>
      <c r="X84" s="121"/>
      <c r="Y84" s="128"/>
      <c r="Z84" s="128"/>
      <c r="AA84" s="128"/>
      <c r="AB84" s="128"/>
      <c r="AC84" s="128"/>
      <c r="AD84" s="128"/>
      <c r="AE84" s="128"/>
      <c r="AF84" s="16"/>
      <c r="AG84" s="130"/>
    </row>
    <row r="85" ht="15" customHeight="1" spans="1:33">
      <c r="A85" s="63">
        <f t="shared" si="7"/>
        <v>81</v>
      </c>
      <c r="B85" s="16"/>
      <c r="C85" s="121"/>
      <c r="D85" s="121"/>
      <c r="E85" s="121"/>
      <c r="F85" s="121"/>
      <c r="G85" s="121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5"/>
      <c r="X85" s="121"/>
      <c r="Y85" s="128"/>
      <c r="Z85" s="128"/>
      <c r="AA85" s="128"/>
      <c r="AB85" s="128"/>
      <c r="AC85" s="128"/>
      <c r="AD85" s="128"/>
      <c r="AE85" s="128"/>
      <c r="AF85" s="16"/>
      <c r="AG85" s="130"/>
    </row>
    <row r="86" ht="15" customHeight="1" spans="1:33">
      <c r="A86" s="63">
        <f t="shared" si="7"/>
        <v>82</v>
      </c>
      <c r="B86" s="16"/>
      <c r="C86" s="121"/>
      <c r="D86" s="121"/>
      <c r="E86" s="121"/>
      <c r="F86" s="121"/>
      <c r="G86" s="121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5"/>
      <c r="X86" s="121"/>
      <c r="Y86" s="128"/>
      <c r="Z86" s="128"/>
      <c r="AA86" s="128"/>
      <c r="AB86" s="128"/>
      <c r="AC86" s="128"/>
      <c r="AD86" s="128"/>
      <c r="AE86" s="128"/>
      <c r="AF86" s="16"/>
      <c r="AG86" s="130"/>
    </row>
    <row r="87" ht="15" customHeight="1" spans="1:33">
      <c r="A87" s="63">
        <f t="shared" si="7"/>
        <v>83</v>
      </c>
      <c r="B87" s="16"/>
      <c r="C87" s="121"/>
      <c r="D87" s="121"/>
      <c r="E87" s="121"/>
      <c r="F87" s="121"/>
      <c r="G87" s="121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5"/>
      <c r="X87" s="121"/>
      <c r="Y87" s="128"/>
      <c r="Z87" s="128"/>
      <c r="AA87" s="128"/>
      <c r="AB87" s="128"/>
      <c r="AC87" s="128"/>
      <c r="AD87" s="128"/>
      <c r="AE87" s="128"/>
      <c r="AF87" s="16"/>
      <c r="AG87" s="130"/>
    </row>
    <row r="88" ht="15" customHeight="1" spans="1:33">
      <c r="A88" s="63">
        <f t="shared" si="7"/>
        <v>84</v>
      </c>
      <c r="B88" s="16"/>
      <c r="C88" s="121"/>
      <c r="D88" s="121"/>
      <c r="E88" s="121"/>
      <c r="F88" s="121"/>
      <c r="G88" s="121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5"/>
      <c r="X88" s="121"/>
      <c r="Y88" s="128"/>
      <c r="Z88" s="128"/>
      <c r="AA88" s="128"/>
      <c r="AB88" s="128"/>
      <c r="AC88" s="128"/>
      <c r="AD88" s="128"/>
      <c r="AE88" s="128"/>
      <c r="AF88" s="16"/>
      <c r="AG88" s="130"/>
    </row>
    <row r="89" ht="15" customHeight="1" spans="1:33">
      <c r="A89" s="63">
        <f t="shared" si="7"/>
        <v>85</v>
      </c>
      <c r="B89" s="16"/>
      <c r="C89" s="121"/>
      <c r="D89" s="121"/>
      <c r="E89" s="121"/>
      <c r="F89" s="121"/>
      <c r="G89" s="121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5"/>
      <c r="X89" s="121"/>
      <c r="Y89" s="128"/>
      <c r="Z89" s="128"/>
      <c r="AA89" s="128"/>
      <c r="AB89" s="128"/>
      <c r="AC89" s="128"/>
      <c r="AD89" s="128"/>
      <c r="AE89" s="128"/>
      <c r="AF89" s="16"/>
      <c r="AG89" s="130"/>
    </row>
    <row r="90" ht="15" customHeight="1" spans="1:33">
      <c r="A90" s="63">
        <f t="shared" si="7"/>
        <v>86</v>
      </c>
      <c r="B90" s="16"/>
      <c r="C90" s="121"/>
      <c r="D90" s="121"/>
      <c r="E90" s="121"/>
      <c r="F90" s="121"/>
      <c r="G90" s="121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5"/>
      <c r="X90" s="121"/>
      <c r="Y90" s="128"/>
      <c r="Z90" s="128"/>
      <c r="AA90" s="128"/>
      <c r="AB90" s="128"/>
      <c r="AC90" s="128"/>
      <c r="AD90" s="128"/>
      <c r="AE90" s="128"/>
      <c r="AF90" s="16"/>
      <c r="AG90" s="130"/>
    </row>
    <row r="91" ht="15" customHeight="1" spans="1:33">
      <c r="A91" s="63">
        <f t="shared" si="7"/>
        <v>87</v>
      </c>
      <c r="B91" s="16"/>
      <c r="C91" s="121"/>
      <c r="D91" s="121"/>
      <c r="E91" s="121"/>
      <c r="F91" s="121"/>
      <c r="G91" s="121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5"/>
      <c r="X91" s="121"/>
      <c r="Y91" s="128"/>
      <c r="Z91" s="128"/>
      <c r="AA91" s="128"/>
      <c r="AB91" s="128"/>
      <c r="AC91" s="128"/>
      <c r="AD91" s="128"/>
      <c r="AE91" s="128"/>
      <c r="AF91" s="16"/>
      <c r="AG91" s="130"/>
    </row>
    <row r="92" ht="15" customHeight="1" spans="1:33">
      <c r="A92" s="63">
        <f t="shared" si="7"/>
        <v>88</v>
      </c>
      <c r="B92" s="16"/>
      <c r="C92" s="121"/>
      <c r="D92" s="121"/>
      <c r="E92" s="121"/>
      <c r="F92" s="121"/>
      <c r="G92" s="121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5"/>
      <c r="X92" s="121"/>
      <c r="Y92" s="128"/>
      <c r="Z92" s="128"/>
      <c r="AA92" s="128"/>
      <c r="AB92" s="128"/>
      <c r="AC92" s="128"/>
      <c r="AD92" s="128"/>
      <c r="AE92" s="128"/>
      <c r="AF92" s="16"/>
      <c r="AG92" s="130"/>
    </row>
    <row r="93" ht="15" customHeight="1" spans="1:33">
      <c r="A93" s="63">
        <f t="shared" si="7"/>
        <v>89</v>
      </c>
      <c r="B93" s="16"/>
      <c r="C93" s="121"/>
      <c r="D93" s="121"/>
      <c r="E93" s="121"/>
      <c r="F93" s="121"/>
      <c r="G93" s="121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5"/>
      <c r="X93" s="121"/>
      <c r="Y93" s="128"/>
      <c r="Z93" s="128"/>
      <c r="AA93" s="128"/>
      <c r="AB93" s="128"/>
      <c r="AC93" s="128"/>
      <c r="AD93" s="128"/>
      <c r="AE93" s="128"/>
      <c r="AF93" s="16"/>
      <c r="AG93" s="130"/>
    </row>
    <row r="94" ht="15" customHeight="1" spans="1:33">
      <c r="A94" s="63">
        <f t="shared" ref="A94:A103" si="8">ROW()-4</f>
        <v>90</v>
      </c>
      <c r="B94" s="16"/>
      <c r="C94" s="121"/>
      <c r="D94" s="121"/>
      <c r="E94" s="121"/>
      <c r="F94" s="121"/>
      <c r="G94" s="121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5"/>
      <c r="X94" s="121"/>
      <c r="Y94" s="128"/>
      <c r="Z94" s="128"/>
      <c r="AA94" s="128"/>
      <c r="AB94" s="128"/>
      <c r="AC94" s="128"/>
      <c r="AD94" s="128"/>
      <c r="AE94" s="128"/>
      <c r="AF94" s="16"/>
      <c r="AG94" s="130"/>
    </row>
    <row r="95" ht="15" customHeight="1" spans="1:33">
      <c r="A95" s="63">
        <f t="shared" si="8"/>
        <v>91</v>
      </c>
      <c r="B95" s="16"/>
      <c r="C95" s="121"/>
      <c r="D95" s="121"/>
      <c r="E95" s="121"/>
      <c r="F95" s="121"/>
      <c r="G95" s="121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5"/>
      <c r="X95" s="121"/>
      <c r="Y95" s="128"/>
      <c r="Z95" s="128"/>
      <c r="AA95" s="128"/>
      <c r="AB95" s="128"/>
      <c r="AC95" s="128"/>
      <c r="AD95" s="128"/>
      <c r="AE95" s="128"/>
      <c r="AF95" s="16"/>
      <c r="AG95" s="130"/>
    </row>
    <row r="96" ht="15" customHeight="1" spans="1:33">
      <c r="A96" s="63">
        <f t="shared" si="8"/>
        <v>92</v>
      </c>
      <c r="B96" s="16"/>
      <c r="C96" s="121"/>
      <c r="D96" s="121"/>
      <c r="E96" s="121"/>
      <c r="F96" s="121"/>
      <c r="G96" s="121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5"/>
      <c r="X96" s="121"/>
      <c r="Y96" s="128"/>
      <c r="Z96" s="128"/>
      <c r="AA96" s="128"/>
      <c r="AB96" s="128"/>
      <c r="AC96" s="128"/>
      <c r="AD96" s="128"/>
      <c r="AE96" s="128"/>
      <c r="AF96" s="16"/>
      <c r="AG96" s="130"/>
    </row>
    <row r="97" ht="15" customHeight="1" spans="1:33">
      <c r="A97" s="63">
        <f t="shared" si="8"/>
        <v>93</v>
      </c>
      <c r="B97" s="16"/>
      <c r="C97" s="121"/>
      <c r="D97" s="121"/>
      <c r="E97" s="121"/>
      <c r="F97" s="121"/>
      <c r="G97" s="121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6"/>
      <c r="X97" s="121"/>
      <c r="Y97" s="128"/>
      <c r="Z97" s="128"/>
      <c r="AA97" s="128"/>
      <c r="AB97" s="128"/>
      <c r="AC97" s="128"/>
      <c r="AD97" s="128"/>
      <c r="AE97" s="128"/>
      <c r="AF97" s="16"/>
      <c r="AG97" s="130"/>
    </row>
    <row r="98" ht="15" customHeight="1" spans="1:33">
      <c r="A98" s="63">
        <f t="shared" si="8"/>
        <v>94</v>
      </c>
      <c r="B98" s="16"/>
      <c r="C98" s="121"/>
      <c r="D98" s="121"/>
      <c r="E98" s="121"/>
      <c r="F98" s="121"/>
      <c r="G98" s="121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5"/>
      <c r="X98" s="121"/>
      <c r="Y98" s="128"/>
      <c r="Z98" s="128"/>
      <c r="AA98" s="128"/>
      <c r="AB98" s="128"/>
      <c r="AC98" s="128"/>
      <c r="AD98" s="128"/>
      <c r="AE98" s="128"/>
      <c r="AF98" s="16"/>
      <c r="AG98" s="130"/>
    </row>
    <row r="99" ht="15" customHeight="1" spans="1:33">
      <c r="A99" s="63">
        <f t="shared" si="8"/>
        <v>95</v>
      </c>
      <c r="B99" s="16"/>
      <c r="C99" s="121"/>
      <c r="D99" s="121"/>
      <c r="E99" s="121"/>
      <c r="F99" s="121"/>
      <c r="G99" s="121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5"/>
      <c r="X99" s="121"/>
      <c r="Y99" s="128"/>
      <c r="Z99" s="128"/>
      <c r="AA99" s="128"/>
      <c r="AB99" s="128"/>
      <c r="AC99" s="128"/>
      <c r="AD99" s="128"/>
      <c r="AE99" s="128"/>
      <c r="AF99" s="16"/>
      <c r="AG99" s="130"/>
    </row>
    <row r="100" ht="15" customHeight="1" spans="1:33">
      <c r="A100" s="63">
        <f t="shared" si="8"/>
        <v>96</v>
      </c>
      <c r="B100" s="16"/>
      <c r="C100" s="121"/>
      <c r="D100" s="121"/>
      <c r="E100" s="121"/>
      <c r="F100" s="121"/>
      <c r="G100" s="121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5"/>
      <c r="X100" s="121"/>
      <c r="Y100" s="128"/>
      <c r="Z100" s="128"/>
      <c r="AA100" s="128"/>
      <c r="AB100" s="128"/>
      <c r="AC100" s="128"/>
      <c r="AD100" s="128"/>
      <c r="AE100" s="128"/>
      <c r="AF100" s="16"/>
      <c r="AG100" s="130"/>
    </row>
    <row r="101" ht="15" customHeight="1" spans="1:33">
      <c r="A101" s="63">
        <f t="shared" si="8"/>
        <v>97</v>
      </c>
      <c r="B101" s="16"/>
      <c r="C101" s="121"/>
      <c r="D101" s="121"/>
      <c r="E101" s="121"/>
      <c r="F101" s="121"/>
      <c r="G101" s="121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5"/>
      <c r="X101" s="121"/>
      <c r="Y101" s="128"/>
      <c r="Z101" s="128"/>
      <c r="AA101" s="128"/>
      <c r="AB101" s="128"/>
      <c r="AC101" s="128"/>
      <c r="AD101" s="128"/>
      <c r="AE101" s="128"/>
      <c r="AF101" s="16"/>
      <c r="AG101" s="130"/>
    </row>
    <row r="102" ht="15" customHeight="1" spans="1:33">
      <c r="A102" s="63">
        <f t="shared" si="8"/>
        <v>98</v>
      </c>
      <c r="B102" s="16"/>
      <c r="C102" s="121"/>
      <c r="D102" s="121"/>
      <c r="E102" s="121"/>
      <c r="F102" s="121"/>
      <c r="G102" s="121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5"/>
      <c r="X102" s="121"/>
      <c r="Y102" s="128"/>
      <c r="Z102" s="128"/>
      <c r="AA102" s="128"/>
      <c r="AB102" s="128"/>
      <c r="AC102" s="128"/>
      <c r="AD102" s="128"/>
      <c r="AE102" s="128"/>
      <c r="AF102" s="16"/>
      <c r="AG102" s="130"/>
    </row>
    <row r="103" ht="15" customHeight="1" spans="1:33">
      <c r="A103" s="63">
        <f t="shared" si="8"/>
        <v>99</v>
      </c>
      <c r="B103" s="16"/>
      <c r="C103" s="121"/>
      <c r="D103" s="121"/>
      <c r="E103" s="121"/>
      <c r="F103" s="121"/>
      <c r="G103" s="121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5"/>
      <c r="X103" s="127"/>
      <c r="Y103" s="128"/>
      <c r="Z103" s="128"/>
      <c r="AA103" s="128"/>
      <c r="AB103" s="128"/>
      <c r="AC103" s="128"/>
      <c r="AD103" s="128"/>
      <c r="AE103" s="128"/>
      <c r="AF103" s="16"/>
      <c r="AG103" s="130"/>
    </row>
    <row r="104" ht="15" customHeight="1" spans="1:33">
      <c r="A104" s="63">
        <f t="shared" ref="A104:A113" si="9">ROW()-4</f>
        <v>100</v>
      </c>
      <c r="B104" s="16"/>
      <c r="C104" s="121"/>
      <c r="D104" s="121"/>
      <c r="E104" s="121"/>
      <c r="F104" s="121"/>
      <c r="G104" s="121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5"/>
      <c r="X104" s="121"/>
      <c r="Y104" s="128"/>
      <c r="Z104" s="128"/>
      <c r="AA104" s="128"/>
      <c r="AB104" s="128"/>
      <c r="AC104" s="128"/>
      <c r="AD104" s="128"/>
      <c r="AE104" s="128"/>
      <c r="AF104" s="16"/>
      <c r="AG104" s="130"/>
    </row>
    <row r="105" ht="15" customHeight="1" spans="1:33">
      <c r="A105" s="63">
        <f t="shared" si="9"/>
        <v>101</v>
      </c>
      <c r="B105" s="16"/>
      <c r="C105" s="121"/>
      <c r="D105" s="121"/>
      <c r="E105" s="121"/>
      <c r="F105" s="121"/>
      <c r="G105" s="121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5"/>
      <c r="X105" s="121"/>
      <c r="Y105" s="128"/>
      <c r="Z105" s="128"/>
      <c r="AA105" s="128"/>
      <c r="AB105" s="128"/>
      <c r="AC105" s="128"/>
      <c r="AD105" s="128"/>
      <c r="AE105" s="128"/>
      <c r="AF105" s="16"/>
      <c r="AG105" s="130"/>
    </row>
    <row r="106" ht="15" customHeight="1" spans="1:33">
      <c r="A106" s="63">
        <f t="shared" si="9"/>
        <v>102</v>
      </c>
      <c r="B106" s="16"/>
      <c r="C106" s="121"/>
      <c r="D106" s="121"/>
      <c r="E106" s="121"/>
      <c r="F106" s="121"/>
      <c r="G106" s="121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5"/>
      <c r="X106" s="121"/>
      <c r="Y106" s="128"/>
      <c r="Z106" s="128"/>
      <c r="AA106" s="128"/>
      <c r="AB106" s="128"/>
      <c r="AC106" s="128"/>
      <c r="AD106" s="128"/>
      <c r="AE106" s="128"/>
      <c r="AF106" s="16"/>
      <c r="AG106" s="130"/>
    </row>
    <row r="107" ht="15" customHeight="1" spans="1:33">
      <c r="A107" s="63">
        <f t="shared" si="9"/>
        <v>103</v>
      </c>
      <c r="B107" s="16"/>
      <c r="C107" s="121"/>
      <c r="D107" s="121"/>
      <c r="E107" s="121"/>
      <c r="F107" s="121"/>
      <c r="G107" s="121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5"/>
      <c r="X107" s="121"/>
      <c r="Y107" s="128"/>
      <c r="Z107" s="128"/>
      <c r="AA107" s="128"/>
      <c r="AB107" s="128"/>
      <c r="AC107" s="128"/>
      <c r="AD107" s="128"/>
      <c r="AE107" s="128"/>
      <c r="AF107" s="16"/>
      <c r="AG107" s="130"/>
    </row>
    <row r="108" ht="15" customHeight="1" spans="1:33">
      <c r="A108" s="63">
        <f t="shared" si="9"/>
        <v>104</v>
      </c>
      <c r="B108" s="16"/>
      <c r="C108" s="121"/>
      <c r="D108" s="121"/>
      <c r="E108" s="121"/>
      <c r="F108" s="121"/>
      <c r="G108" s="121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5"/>
      <c r="X108" s="121"/>
      <c r="Y108" s="128"/>
      <c r="Z108" s="128"/>
      <c r="AA108" s="128"/>
      <c r="AB108" s="128"/>
      <c r="AC108" s="128"/>
      <c r="AD108" s="128"/>
      <c r="AE108" s="128"/>
      <c r="AF108" s="16"/>
      <c r="AG108" s="130"/>
    </row>
    <row r="109" ht="15" customHeight="1" spans="1:33">
      <c r="A109" s="63">
        <f t="shared" si="9"/>
        <v>105</v>
      </c>
      <c r="B109" s="16"/>
      <c r="C109" s="121"/>
      <c r="D109" s="121"/>
      <c r="E109" s="121"/>
      <c r="F109" s="121"/>
      <c r="G109" s="121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5"/>
      <c r="X109" s="121"/>
      <c r="Y109" s="128"/>
      <c r="Z109" s="128"/>
      <c r="AA109" s="128"/>
      <c r="AB109" s="128"/>
      <c r="AC109" s="128"/>
      <c r="AD109" s="128"/>
      <c r="AE109" s="128"/>
      <c r="AF109" s="16"/>
      <c r="AG109" s="130"/>
    </row>
    <row r="110" ht="15" customHeight="1" spans="1:33">
      <c r="A110" s="63">
        <f t="shared" si="9"/>
        <v>106</v>
      </c>
      <c r="B110" s="16"/>
      <c r="C110" s="121"/>
      <c r="D110" s="121"/>
      <c r="E110" s="121"/>
      <c r="F110" s="121"/>
      <c r="G110" s="121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5"/>
      <c r="X110" s="121"/>
      <c r="Y110" s="128"/>
      <c r="Z110" s="128"/>
      <c r="AA110" s="128"/>
      <c r="AB110" s="128"/>
      <c r="AC110" s="128"/>
      <c r="AD110" s="128"/>
      <c r="AE110" s="128"/>
      <c r="AF110" s="16"/>
      <c r="AG110" s="130"/>
    </row>
    <row r="111" ht="15" customHeight="1" spans="1:33">
      <c r="A111" s="63">
        <f t="shared" si="9"/>
        <v>107</v>
      </c>
      <c r="B111" s="16"/>
      <c r="C111" s="121"/>
      <c r="D111" s="121"/>
      <c r="E111" s="121"/>
      <c r="F111" s="121"/>
      <c r="G111" s="121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5"/>
      <c r="X111" s="121"/>
      <c r="Y111" s="128"/>
      <c r="Z111" s="128"/>
      <c r="AA111" s="128"/>
      <c r="AB111" s="128"/>
      <c r="AC111" s="128"/>
      <c r="AD111" s="128"/>
      <c r="AE111" s="128"/>
      <c r="AF111" s="16"/>
      <c r="AG111" s="130"/>
    </row>
    <row r="112" ht="15" customHeight="1" spans="1:33">
      <c r="A112" s="63">
        <f t="shared" si="9"/>
        <v>108</v>
      </c>
      <c r="B112" s="16"/>
      <c r="C112" s="121"/>
      <c r="D112" s="121"/>
      <c r="E112" s="121"/>
      <c r="F112" s="121"/>
      <c r="G112" s="121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5"/>
      <c r="X112" s="121"/>
      <c r="Y112" s="128"/>
      <c r="Z112" s="128"/>
      <c r="AA112" s="128"/>
      <c r="AB112" s="128"/>
      <c r="AC112" s="128"/>
      <c r="AD112" s="128"/>
      <c r="AE112" s="128"/>
      <c r="AF112" s="16"/>
      <c r="AG112" s="130"/>
    </row>
    <row r="113" ht="15" customHeight="1" spans="1:33">
      <c r="A113" s="63">
        <f t="shared" si="9"/>
        <v>109</v>
      </c>
      <c r="B113" s="16"/>
      <c r="C113" s="121"/>
      <c r="D113" s="121"/>
      <c r="E113" s="121"/>
      <c r="F113" s="121"/>
      <c r="G113" s="121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5"/>
      <c r="X113" s="121"/>
      <c r="Y113" s="128"/>
      <c r="Z113" s="128"/>
      <c r="AA113" s="128"/>
      <c r="AB113" s="128"/>
      <c r="AC113" s="128"/>
      <c r="AD113" s="128"/>
      <c r="AE113" s="128"/>
      <c r="AF113" s="16"/>
      <c r="AG113" s="130"/>
    </row>
    <row r="114" ht="15" customHeight="1" spans="1:33">
      <c r="A114" s="63">
        <f t="shared" ref="A114:A123" si="10">ROW()-4</f>
        <v>110</v>
      </c>
      <c r="B114" s="16"/>
      <c r="C114" s="121"/>
      <c r="D114" s="121"/>
      <c r="E114" s="121"/>
      <c r="F114" s="121"/>
      <c r="G114" s="121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5"/>
      <c r="X114" s="121"/>
      <c r="Y114" s="128"/>
      <c r="Z114" s="128"/>
      <c r="AA114" s="128"/>
      <c r="AB114" s="128"/>
      <c r="AC114" s="128"/>
      <c r="AD114" s="128"/>
      <c r="AE114" s="128"/>
      <c r="AF114" s="16"/>
      <c r="AG114" s="130"/>
    </row>
    <row r="115" ht="15" customHeight="1" spans="1:33">
      <c r="A115" s="63">
        <f t="shared" si="10"/>
        <v>111</v>
      </c>
      <c r="B115" s="16"/>
      <c r="C115" s="121"/>
      <c r="D115" s="121"/>
      <c r="E115" s="121"/>
      <c r="F115" s="121"/>
      <c r="G115" s="121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5"/>
      <c r="X115" s="121"/>
      <c r="Y115" s="128"/>
      <c r="Z115" s="128"/>
      <c r="AA115" s="128"/>
      <c r="AB115" s="128"/>
      <c r="AC115" s="128"/>
      <c r="AD115" s="128"/>
      <c r="AE115" s="128"/>
      <c r="AF115" s="16"/>
      <c r="AG115" s="130"/>
    </row>
    <row r="116" ht="15" customHeight="1" spans="1:33">
      <c r="A116" s="63">
        <f t="shared" si="10"/>
        <v>112</v>
      </c>
      <c r="B116" s="16"/>
      <c r="C116" s="121"/>
      <c r="D116" s="121"/>
      <c r="E116" s="121"/>
      <c r="F116" s="121"/>
      <c r="G116" s="121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5"/>
      <c r="X116" s="121"/>
      <c r="Y116" s="128"/>
      <c r="Z116" s="128"/>
      <c r="AA116" s="128"/>
      <c r="AB116" s="128"/>
      <c r="AC116" s="128"/>
      <c r="AD116" s="128"/>
      <c r="AE116" s="128"/>
      <c r="AF116" s="16"/>
      <c r="AG116" s="130"/>
    </row>
    <row r="117" ht="15" customHeight="1" spans="1:33">
      <c r="A117" s="63">
        <f t="shared" si="10"/>
        <v>113</v>
      </c>
      <c r="B117" s="16"/>
      <c r="C117" s="121"/>
      <c r="D117" s="121"/>
      <c r="E117" s="121"/>
      <c r="F117" s="121"/>
      <c r="G117" s="121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5"/>
      <c r="X117" s="121"/>
      <c r="Y117" s="128"/>
      <c r="Z117" s="128"/>
      <c r="AA117" s="128"/>
      <c r="AB117" s="128"/>
      <c r="AC117" s="128"/>
      <c r="AD117" s="128"/>
      <c r="AE117" s="128"/>
      <c r="AF117" s="16"/>
      <c r="AG117" s="130"/>
    </row>
    <row r="118" ht="15" customHeight="1" spans="1:33">
      <c r="A118" s="63">
        <f t="shared" si="10"/>
        <v>114</v>
      </c>
      <c r="B118" s="16"/>
      <c r="C118" s="121"/>
      <c r="D118" s="121"/>
      <c r="E118" s="121"/>
      <c r="F118" s="121"/>
      <c r="G118" s="121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5"/>
      <c r="X118" s="121"/>
      <c r="Y118" s="128"/>
      <c r="Z118" s="128"/>
      <c r="AA118" s="128"/>
      <c r="AB118" s="128"/>
      <c r="AC118" s="128"/>
      <c r="AD118" s="128"/>
      <c r="AE118" s="128"/>
      <c r="AF118" s="16"/>
      <c r="AG118" s="130"/>
    </row>
    <row r="119" ht="15" customHeight="1" spans="1:33">
      <c r="A119" s="63">
        <f t="shared" si="10"/>
        <v>115</v>
      </c>
      <c r="B119" s="16"/>
      <c r="C119" s="121"/>
      <c r="D119" s="121"/>
      <c r="E119" s="121"/>
      <c r="F119" s="121"/>
      <c r="G119" s="121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5"/>
      <c r="X119" s="121"/>
      <c r="Y119" s="128"/>
      <c r="Z119" s="128"/>
      <c r="AA119" s="128"/>
      <c r="AB119" s="128"/>
      <c r="AC119" s="128"/>
      <c r="AD119" s="128"/>
      <c r="AE119" s="128"/>
      <c r="AF119" s="16"/>
      <c r="AG119" s="130"/>
    </row>
    <row r="120" ht="15" customHeight="1" spans="1:33">
      <c r="A120" s="63">
        <f t="shared" si="10"/>
        <v>116</v>
      </c>
      <c r="B120" s="16"/>
      <c r="C120" s="121"/>
      <c r="D120" s="121"/>
      <c r="E120" s="121"/>
      <c r="F120" s="121"/>
      <c r="G120" s="121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5"/>
      <c r="X120" s="121"/>
      <c r="Y120" s="128"/>
      <c r="Z120" s="128"/>
      <c r="AA120" s="128"/>
      <c r="AB120" s="128"/>
      <c r="AC120" s="128"/>
      <c r="AD120" s="128"/>
      <c r="AE120" s="128"/>
      <c r="AF120" s="16"/>
      <c r="AG120" s="130"/>
    </row>
    <row r="121" ht="15" customHeight="1" spans="1:33">
      <c r="A121" s="63">
        <f t="shared" si="10"/>
        <v>117</v>
      </c>
      <c r="B121" s="16"/>
      <c r="C121" s="121"/>
      <c r="D121" s="121"/>
      <c r="E121" s="121"/>
      <c r="F121" s="121"/>
      <c r="G121" s="121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5"/>
      <c r="X121" s="121"/>
      <c r="Y121" s="128"/>
      <c r="Z121" s="128"/>
      <c r="AA121" s="128"/>
      <c r="AB121" s="128"/>
      <c r="AC121" s="128"/>
      <c r="AD121" s="128"/>
      <c r="AE121" s="128"/>
      <c r="AF121" s="16"/>
      <c r="AG121" s="130"/>
    </row>
    <row r="122" ht="15" customHeight="1" spans="1:33">
      <c r="A122" s="63">
        <f t="shared" si="10"/>
        <v>118</v>
      </c>
      <c r="B122" s="16"/>
      <c r="C122" s="121"/>
      <c r="D122" s="121"/>
      <c r="E122" s="121"/>
      <c r="F122" s="121"/>
      <c r="G122" s="121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5"/>
      <c r="X122" s="121"/>
      <c r="Y122" s="128"/>
      <c r="Z122" s="128"/>
      <c r="AA122" s="128"/>
      <c r="AB122" s="128"/>
      <c r="AC122" s="128"/>
      <c r="AD122" s="128"/>
      <c r="AE122" s="128"/>
      <c r="AF122" s="16"/>
      <c r="AG122" s="130"/>
    </row>
    <row r="123" ht="15" customHeight="1" spans="1:33">
      <c r="A123" s="63">
        <f t="shared" si="10"/>
        <v>119</v>
      </c>
      <c r="B123" s="16"/>
      <c r="C123" s="121"/>
      <c r="D123" s="121"/>
      <c r="E123" s="121"/>
      <c r="F123" s="121"/>
      <c r="G123" s="121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5"/>
      <c r="X123" s="121"/>
      <c r="Y123" s="128"/>
      <c r="Z123" s="128"/>
      <c r="AA123" s="128"/>
      <c r="AB123" s="128"/>
      <c r="AC123" s="128"/>
      <c r="AD123" s="128"/>
      <c r="AE123" s="128"/>
      <c r="AF123" s="16"/>
      <c r="AG123" s="130"/>
    </row>
    <row r="124" ht="15" customHeight="1" spans="1:33">
      <c r="A124" s="63">
        <f t="shared" ref="A124:A136" si="11">ROW()-4</f>
        <v>120</v>
      </c>
      <c r="B124" s="16"/>
      <c r="C124" s="121"/>
      <c r="D124" s="121"/>
      <c r="E124" s="121"/>
      <c r="F124" s="121"/>
      <c r="G124" s="121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5"/>
      <c r="X124" s="121"/>
      <c r="Y124" s="128"/>
      <c r="Z124" s="128"/>
      <c r="AA124" s="128"/>
      <c r="AB124" s="128"/>
      <c r="AC124" s="128"/>
      <c r="AD124" s="128"/>
      <c r="AE124" s="128"/>
      <c r="AF124" s="16"/>
      <c r="AG124" s="130"/>
    </row>
    <row r="125" ht="15" customHeight="1" spans="1:33">
      <c r="A125" s="63">
        <f t="shared" si="11"/>
        <v>121</v>
      </c>
      <c r="B125" s="16"/>
      <c r="C125" s="121"/>
      <c r="D125" s="121"/>
      <c r="E125" s="121"/>
      <c r="F125" s="121"/>
      <c r="G125" s="121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5"/>
      <c r="X125" s="121"/>
      <c r="Y125" s="128"/>
      <c r="Z125" s="128"/>
      <c r="AA125" s="128"/>
      <c r="AB125" s="128"/>
      <c r="AC125" s="128"/>
      <c r="AD125" s="128"/>
      <c r="AE125" s="128"/>
      <c r="AF125" s="16"/>
      <c r="AG125" s="131"/>
    </row>
    <row r="126" ht="15" customHeight="1" spans="1:33">
      <c r="A126" s="63">
        <f t="shared" si="11"/>
        <v>122</v>
      </c>
      <c r="B126" s="16"/>
      <c r="C126" s="121"/>
      <c r="D126" s="121"/>
      <c r="E126" s="121"/>
      <c r="F126" s="121"/>
      <c r="G126" s="121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5"/>
      <c r="X126" s="121"/>
      <c r="Y126" s="128"/>
      <c r="Z126" s="128"/>
      <c r="AA126" s="128"/>
      <c r="AB126" s="128"/>
      <c r="AC126" s="128"/>
      <c r="AD126" s="128"/>
      <c r="AE126" s="128"/>
      <c r="AF126" s="16"/>
      <c r="AG126" s="131"/>
    </row>
    <row r="127" ht="15" customHeight="1" spans="1:33">
      <c r="A127" s="63">
        <f t="shared" si="11"/>
        <v>123</v>
      </c>
      <c r="B127" s="16"/>
      <c r="C127" s="121"/>
      <c r="D127" s="121"/>
      <c r="E127" s="121"/>
      <c r="F127" s="121"/>
      <c r="G127" s="121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5"/>
      <c r="X127" s="121"/>
      <c r="Y127" s="128"/>
      <c r="Z127" s="128"/>
      <c r="AA127" s="128"/>
      <c r="AB127" s="128"/>
      <c r="AC127" s="128"/>
      <c r="AD127" s="128"/>
      <c r="AE127" s="128"/>
      <c r="AF127" s="16"/>
      <c r="AG127" s="131"/>
    </row>
    <row r="128" ht="15" customHeight="1" spans="1:33">
      <c r="A128" s="63">
        <f t="shared" si="11"/>
        <v>124</v>
      </c>
      <c r="B128" s="16"/>
      <c r="C128" s="121"/>
      <c r="D128" s="121"/>
      <c r="E128" s="121"/>
      <c r="F128" s="121"/>
      <c r="G128" s="121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5"/>
      <c r="X128" s="127"/>
      <c r="Y128" s="128"/>
      <c r="Z128" s="128"/>
      <c r="AA128" s="128"/>
      <c r="AB128" s="128"/>
      <c r="AC128" s="128"/>
      <c r="AD128" s="128"/>
      <c r="AE128" s="128"/>
      <c r="AF128" s="16"/>
      <c r="AG128" s="131"/>
    </row>
    <row r="129" ht="15" customHeight="1" spans="1:33">
      <c r="A129" s="63">
        <f t="shared" si="11"/>
        <v>125</v>
      </c>
      <c r="B129" s="16"/>
      <c r="C129" s="121"/>
      <c r="D129" s="121"/>
      <c r="E129" s="121"/>
      <c r="F129" s="121"/>
      <c r="G129" s="121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5"/>
      <c r="X129" s="121"/>
      <c r="Y129" s="128"/>
      <c r="Z129" s="128"/>
      <c r="AA129" s="128"/>
      <c r="AB129" s="128"/>
      <c r="AC129" s="128"/>
      <c r="AD129" s="128"/>
      <c r="AE129" s="128"/>
      <c r="AF129" s="16"/>
      <c r="AG129" s="131"/>
    </row>
    <row r="130" ht="15" customHeight="1" spans="1:33">
      <c r="A130" s="63">
        <f t="shared" si="11"/>
        <v>126</v>
      </c>
      <c r="B130" s="16"/>
      <c r="C130" s="121"/>
      <c r="D130" s="121"/>
      <c r="E130" s="121"/>
      <c r="F130" s="121"/>
      <c r="G130" s="121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5"/>
      <c r="X130" s="121"/>
      <c r="Y130" s="128"/>
      <c r="Z130" s="128"/>
      <c r="AA130" s="128"/>
      <c r="AB130" s="128"/>
      <c r="AC130" s="128"/>
      <c r="AD130" s="128"/>
      <c r="AE130" s="128"/>
      <c r="AF130" s="16"/>
      <c r="AG130" s="131"/>
    </row>
    <row r="131" ht="15" customHeight="1" spans="1:33">
      <c r="A131" s="63">
        <f t="shared" si="11"/>
        <v>127</v>
      </c>
      <c r="B131" s="16"/>
      <c r="C131" s="121"/>
      <c r="D131" s="121"/>
      <c r="E131" s="121"/>
      <c r="F131" s="121"/>
      <c r="G131" s="121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5"/>
      <c r="X131" s="121"/>
      <c r="Y131" s="128"/>
      <c r="Z131" s="128"/>
      <c r="AA131" s="128"/>
      <c r="AB131" s="128"/>
      <c r="AC131" s="128"/>
      <c r="AD131" s="128"/>
      <c r="AE131" s="128"/>
      <c r="AF131" s="16"/>
      <c r="AG131" s="131"/>
    </row>
    <row r="132" ht="15" customHeight="1" spans="1:33">
      <c r="A132" s="63">
        <f t="shared" si="11"/>
        <v>128</v>
      </c>
      <c r="B132" s="16"/>
      <c r="C132" s="121"/>
      <c r="D132" s="121"/>
      <c r="E132" s="121"/>
      <c r="F132" s="121"/>
      <c r="G132" s="121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5"/>
      <c r="X132" s="121"/>
      <c r="Y132" s="128"/>
      <c r="Z132" s="128"/>
      <c r="AA132" s="128"/>
      <c r="AB132" s="128"/>
      <c r="AC132" s="128"/>
      <c r="AD132" s="128"/>
      <c r="AE132" s="128"/>
      <c r="AF132" s="16"/>
      <c r="AG132" s="131"/>
    </row>
    <row r="133" ht="15" customHeight="1" spans="1:33">
      <c r="A133" s="63">
        <f t="shared" si="11"/>
        <v>129</v>
      </c>
      <c r="B133" s="16"/>
      <c r="C133" s="121"/>
      <c r="D133" s="121"/>
      <c r="E133" s="121"/>
      <c r="F133" s="121"/>
      <c r="G133" s="121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5"/>
      <c r="X133" s="121"/>
      <c r="Y133" s="128"/>
      <c r="Z133" s="128"/>
      <c r="AA133" s="128"/>
      <c r="AB133" s="128"/>
      <c r="AC133" s="128"/>
      <c r="AD133" s="128"/>
      <c r="AE133" s="128"/>
      <c r="AF133" s="16"/>
      <c r="AG133" s="131"/>
    </row>
    <row r="134" ht="15" customHeight="1" spans="1:33">
      <c r="A134" s="63">
        <f t="shared" si="11"/>
        <v>130</v>
      </c>
      <c r="B134" s="16"/>
      <c r="C134" s="16"/>
      <c r="D134" s="16"/>
      <c r="E134" s="16"/>
      <c r="F134" s="16"/>
      <c r="G134" s="16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43"/>
      <c r="U134" s="122"/>
      <c r="V134" s="122"/>
      <c r="W134" s="125"/>
      <c r="X134" s="121"/>
      <c r="Y134" s="128"/>
      <c r="Z134" s="128"/>
      <c r="AA134" s="128"/>
      <c r="AB134" s="128"/>
      <c r="AC134" s="17"/>
      <c r="AD134" s="128"/>
      <c r="AE134" s="128"/>
      <c r="AF134" s="16"/>
      <c r="AG134" s="131"/>
    </row>
    <row r="135" ht="15" customHeight="1" spans="1:33">
      <c r="A135" s="63">
        <f t="shared" si="11"/>
        <v>131</v>
      </c>
      <c r="B135" s="16"/>
      <c r="C135" s="16"/>
      <c r="D135" s="16"/>
      <c r="E135" s="16"/>
      <c r="F135" s="16"/>
      <c r="G135" s="16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43"/>
      <c r="U135" s="122"/>
      <c r="V135" s="122"/>
      <c r="W135" s="125"/>
      <c r="X135" s="121"/>
      <c r="Y135" s="128"/>
      <c r="Z135" s="128"/>
      <c r="AA135" s="128"/>
      <c r="AB135" s="128"/>
      <c r="AC135" s="17"/>
      <c r="AD135" s="128"/>
      <c r="AE135" s="128"/>
      <c r="AF135" s="16"/>
      <c r="AG135" s="131"/>
    </row>
    <row r="136" ht="15" customHeight="1" spans="1:33">
      <c r="A136" s="63">
        <f t="shared" si="11"/>
        <v>132</v>
      </c>
      <c r="B136" s="16"/>
      <c r="C136" s="16"/>
      <c r="D136" s="16"/>
      <c r="E136" s="16"/>
      <c r="F136" s="16"/>
      <c r="G136" s="16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43"/>
      <c r="U136" s="122"/>
      <c r="V136" s="122"/>
      <c r="W136" s="125"/>
      <c r="X136" s="121"/>
      <c r="Y136" s="128"/>
      <c r="Z136" s="128"/>
      <c r="AA136" s="128"/>
      <c r="AB136" s="128"/>
      <c r="AC136" s="17"/>
      <c r="AD136" s="128"/>
      <c r="AE136" s="128"/>
      <c r="AF136" s="16"/>
      <c r="AG136" s="131"/>
    </row>
    <row r="137" customHeight="1" spans="1:33">
      <c r="A137" s="132"/>
      <c r="B137" s="8"/>
      <c r="C137" s="133"/>
      <c r="D137" s="133"/>
      <c r="E137" s="133"/>
      <c r="F137" s="133"/>
      <c r="G137" s="133"/>
      <c r="H137" s="134">
        <f>SUM(H5:H136)</f>
        <v>0</v>
      </c>
      <c r="I137" s="134">
        <f t="shared" ref="I137:V137" si="12">SUM(I5:I136)</f>
        <v>0</v>
      </c>
      <c r="J137" s="134">
        <f t="shared" si="12"/>
        <v>0</v>
      </c>
      <c r="K137" s="134">
        <f t="shared" si="12"/>
        <v>0</v>
      </c>
      <c r="L137" s="134">
        <f t="shared" si="12"/>
        <v>0</v>
      </c>
      <c r="M137" s="134">
        <f t="shared" si="12"/>
        <v>0</v>
      </c>
      <c r="N137" s="134">
        <f t="shared" si="12"/>
        <v>0</v>
      </c>
      <c r="O137" s="134">
        <f t="shared" si="12"/>
        <v>0</v>
      </c>
      <c r="P137" s="134">
        <f t="shared" si="12"/>
        <v>0</v>
      </c>
      <c r="Q137" s="134">
        <f t="shared" si="12"/>
        <v>0</v>
      </c>
      <c r="R137" s="134">
        <f t="shared" si="12"/>
        <v>0</v>
      </c>
      <c r="S137" s="134">
        <f t="shared" si="12"/>
        <v>0</v>
      </c>
      <c r="T137" s="134">
        <f t="shared" si="12"/>
        <v>0</v>
      </c>
      <c r="U137" s="134">
        <f t="shared" si="12"/>
        <v>0</v>
      </c>
      <c r="V137" s="134">
        <f t="shared" si="12"/>
        <v>0</v>
      </c>
      <c r="W137" s="133"/>
      <c r="X137" s="8"/>
      <c r="AF137" s="133"/>
      <c r="AG137" s="41"/>
    </row>
    <row r="138" customHeight="1" spans="1:33">
      <c r="A138" s="132"/>
      <c r="B138" s="55" t="s">
        <v>244</v>
      </c>
      <c r="C138" s="133"/>
      <c r="D138" s="4"/>
      <c r="E138" s="133"/>
      <c r="F138" s="133"/>
      <c r="G138" s="8" t="s">
        <v>245</v>
      </c>
      <c r="H138" s="8"/>
      <c r="I138" s="8"/>
      <c r="J138" s="8"/>
      <c r="P138" s="8" t="s">
        <v>246</v>
      </c>
      <c r="Q138" s="8"/>
      <c r="R138" s="8"/>
      <c r="S138" s="8"/>
      <c r="T138" s="8"/>
      <c r="U138" s="8"/>
      <c r="V138" s="8"/>
      <c r="W138" s="8"/>
      <c r="X138" s="8"/>
      <c r="Y138" s="4" t="s">
        <v>247</v>
      </c>
      <c r="Z138" s="4"/>
      <c r="AA138" s="4"/>
      <c r="AB138" s="4"/>
      <c r="AC138" s="4"/>
      <c r="AD138" s="4"/>
      <c r="AE138" s="4"/>
      <c r="AG138" s="55" t="s">
        <v>248</v>
      </c>
    </row>
  </sheetData>
  <autoFilter ref="A4:IV138">
    <extLst/>
  </autoFilter>
  <mergeCells count="6">
    <mergeCell ref="A1:AG1"/>
    <mergeCell ref="A2:AG2"/>
    <mergeCell ref="A3:AG3"/>
    <mergeCell ref="G138:J138"/>
    <mergeCell ref="P138:X138"/>
    <mergeCell ref="Y138:AF138"/>
  </mergeCells>
  <pageMargins left="0.0777777777777778" right="0.118055555555556" top="0.279166666666667" bottom="0.199305555555556" header="0.509027777777778" footer="0.11875"/>
  <pageSetup paperSize="9" orientation="landscape"/>
  <headerFooter alignWithMargins="0" scaleWithDoc="0"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16"/>
  <sheetViews>
    <sheetView workbookViewId="0">
      <pane ySplit="4" topLeftCell="A5" activePane="bottomLeft" state="frozen"/>
      <selection/>
      <selection pane="bottomLeft" activeCell="K7" sqref="K7"/>
    </sheetView>
  </sheetViews>
  <sheetFormatPr defaultColWidth="9" defaultRowHeight="14.25"/>
  <cols>
    <col min="1" max="1" width="8.75" customWidth="1"/>
    <col min="2" max="3" width="4.75" customWidth="1"/>
    <col min="4" max="4" width="5.375" customWidth="1"/>
    <col min="5" max="5" width="5.625" customWidth="1"/>
    <col min="6" max="6" width="6.125" customWidth="1"/>
    <col min="7" max="7" width="8.5"/>
    <col min="8" max="27" width="3.5" customWidth="1"/>
    <col min="28" max="28" width="7" style="35" customWidth="1"/>
    <col min="29" max="29" width="4.375" style="36" customWidth="1"/>
  </cols>
  <sheetData>
    <row r="1" s="32" customFormat="1" spans="1:250">
      <c r="A1" t="s">
        <v>249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 s="35"/>
      <c r="AC1" s="36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</row>
    <row r="2" ht="30.75" customHeight="1" spans="1:29">
      <c r="A2" s="37" t="s">
        <v>250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45"/>
      <c r="AC2" s="46"/>
    </row>
    <row r="3" ht="24" customHeight="1" spans="1:29">
      <c r="A3" s="38" t="s">
        <v>6</v>
      </c>
      <c r="B3" s="38" t="s">
        <v>251</v>
      </c>
      <c r="C3" s="38"/>
      <c r="D3" s="39" t="s">
        <v>12</v>
      </c>
      <c r="E3" s="39" t="s">
        <v>242</v>
      </c>
      <c r="F3" s="39" t="s">
        <v>252</v>
      </c>
      <c r="G3" s="39" t="s">
        <v>253</v>
      </c>
      <c r="H3" s="38" t="s">
        <v>15</v>
      </c>
      <c r="I3" s="38"/>
      <c r="J3" s="38" t="s">
        <v>16</v>
      </c>
      <c r="K3" s="38"/>
      <c r="L3" s="38" t="s">
        <v>20</v>
      </c>
      <c r="M3" s="38"/>
      <c r="N3" s="43" t="s">
        <v>17</v>
      </c>
      <c r="O3" s="43"/>
      <c r="P3" s="43" t="s">
        <v>19</v>
      </c>
      <c r="Q3" s="43"/>
      <c r="R3" s="43" t="s">
        <v>18</v>
      </c>
      <c r="S3" s="43"/>
      <c r="T3" s="43" t="s">
        <v>254</v>
      </c>
      <c r="U3" s="43"/>
      <c r="V3" s="43" t="s">
        <v>255</v>
      </c>
      <c r="W3" s="43"/>
      <c r="X3" s="43" t="s">
        <v>23</v>
      </c>
      <c r="Y3" s="43"/>
      <c r="Z3" s="43" t="s">
        <v>25</v>
      </c>
      <c r="AA3" s="43"/>
      <c r="AB3" s="39" t="s">
        <v>256</v>
      </c>
      <c r="AC3" s="47"/>
    </row>
    <row r="4" ht="24" customHeight="1" spans="1:29">
      <c r="A4" s="38"/>
      <c r="B4" s="38" t="s">
        <v>257</v>
      </c>
      <c r="C4" s="38" t="s">
        <v>258</v>
      </c>
      <c r="D4" s="39"/>
      <c r="E4" s="39"/>
      <c r="F4" s="39"/>
      <c r="G4" s="39"/>
      <c r="H4" s="38" t="s">
        <v>259</v>
      </c>
      <c r="I4" s="38" t="s">
        <v>260</v>
      </c>
      <c r="J4" s="38" t="s">
        <v>259</v>
      </c>
      <c r="K4" s="38" t="s">
        <v>260</v>
      </c>
      <c r="L4" s="38" t="s">
        <v>259</v>
      </c>
      <c r="M4" s="38" t="s">
        <v>260</v>
      </c>
      <c r="N4" s="38" t="s">
        <v>259</v>
      </c>
      <c r="O4" s="38" t="s">
        <v>260</v>
      </c>
      <c r="P4" s="38" t="s">
        <v>259</v>
      </c>
      <c r="Q4" s="38" t="s">
        <v>260</v>
      </c>
      <c r="R4" s="38" t="s">
        <v>259</v>
      </c>
      <c r="S4" s="38" t="s">
        <v>260</v>
      </c>
      <c r="T4" s="38" t="s">
        <v>259</v>
      </c>
      <c r="U4" s="38" t="s">
        <v>260</v>
      </c>
      <c r="V4" s="38" t="s">
        <v>259</v>
      </c>
      <c r="W4" s="38" t="s">
        <v>260</v>
      </c>
      <c r="X4" s="38" t="s">
        <v>259</v>
      </c>
      <c r="Y4" s="38" t="s">
        <v>260</v>
      </c>
      <c r="Z4" s="38" t="s">
        <v>259</v>
      </c>
      <c r="AA4" s="38" t="s">
        <v>260</v>
      </c>
      <c r="AB4" s="39"/>
      <c r="AC4" s="47"/>
    </row>
    <row r="5" s="33" customFormat="1" ht="25.15" customHeight="1" spans="1:29">
      <c r="A5" s="38" t="s">
        <v>261</v>
      </c>
      <c r="B5" s="38">
        <v>165</v>
      </c>
      <c r="C5" s="38">
        <v>166</v>
      </c>
      <c r="D5" s="38">
        <v>5038</v>
      </c>
      <c r="E5" s="38">
        <f t="shared" ref="E5:E10" si="0">I5+K5+U5</f>
        <v>129</v>
      </c>
      <c r="F5" s="38">
        <f t="shared" ref="F5:F10" si="1">D5-E5</f>
        <v>4909</v>
      </c>
      <c r="G5" s="40">
        <f t="shared" ref="G5:G10" si="2">(F5/D5)</f>
        <v>0.974394601032156</v>
      </c>
      <c r="H5" s="38">
        <v>25</v>
      </c>
      <c r="I5" s="38">
        <v>119</v>
      </c>
      <c r="J5" s="38"/>
      <c r="K5" s="38"/>
      <c r="L5" s="38"/>
      <c r="M5" s="38"/>
      <c r="N5" s="38">
        <v>9</v>
      </c>
      <c r="O5" s="38">
        <v>125</v>
      </c>
      <c r="P5" s="38">
        <v>3</v>
      </c>
      <c r="Q5" s="38">
        <v>9</v>
      </c>
      <c r="R5" s="38">
        <v>8</v>
      </c>
      <c r="S5" s="38">
        <v>36</v>
      </c>
      <c r="T5" s="38">
        <v>3</v>
      </c>
      <c r="U5" s="38">
        <v>10</v>
      </c>
      <c r="V5" s="38"/>
      <c r="W5" s="38"/>
      <c r="X5" s="38"/>
      <c r="Y5" s="38"/>
      <c r="Z5" s="38"/>
      <c r="AA5" s="38"/>
      <c r="AB5" s="48" t="s">
        <v>262</v>
      </c>
      <c r="AC5" s="49"/>
    </row>
    <row r="6" s="33" customFormat="1" ht="25.15" customHeight="1" spans="1:29">
      <c r="A6" s="38" t="s">
        <v>263</v>
      </c>
      <c r="B6" s="38">
        <v>130</v>
      </c>
      <c r="C6" s="38">
        <v>130</v>
      </c>
      <c r="D6" s="38">
        <v>3934</v>
      </c>
      <c r="E6" s="38">
        <f t="shared" si="0"/>
        <v>183</v>
      </c>
      <c r="F6" s="38">
        <f t="shared" si="1"/>
        <v>3751</v>
      </c>
      <c r="G6" s="40">
        <f t="shared" si="2"/>
        <v>0.953482460599898</v>
      </c>
      <c r="H6" s="38">
        <v>21</v>
      </c>
      <c r="I6" s="38">
        <v>183</v>
      </c>
      <c r="J6" s="38"/>
      <c r="K6" s="38"/>
      <c r="L6" s="38"/>
      <c r="M6" s="38"/>
      <c r="N6" s="38">
        <v>6</v>
      </c>
      <c r="O6" s="38">
        <v>43</v>
      </c>
      <c r="P6" s="38"/>
      <c r="Q6" s="38"/>
      <c r="R6" s="38">
        <v>6</v>
      </c>
      <c r="S6" s="38">
        <v>37</v>
      </c>
      <c r="T6" s="38"/>
      <c r="U6" s="38"/>
      <c r="V6" s="38"/>
      <c r="W6" s="38"/>
      <c r="X6" s="38"/>
      <c r="Y6" s="38"/>
      <c r="Z6" s="38">
        <v>1</v>
      </c>
      <c r="AA6" s="38">
        <v>6</v>
      </c>
      <c r="AB6" s="48"/>
      <c r="AC6" s="49"/>
    </row>
    <row r="7" s="33" customFormat="1" ht="25.15" customHeight="1" spans="1:29">
      <c r="A7" s="38" t="s">
        <v>264</v>
      </c>
      <c r="B7" s="38">
        <v>155</v>
      </c>
      <c r="C7" s="38">
        <v>155</v>
      </c>
      <c r="D7" s="38">
        <v>4690</v>
      </c>
      <c r="E7" s="38">
        <f t="shared" si="0"/>
        <v>342</v>
      </c>
      <c r="F7" s="38">
        <f t="shared" si="1"/>
        <v>4348</v>
      </c>
      <c r="G7" s="40">
        <f t="shared" si="2"/>
        <v>0.927078891257996</v>
      </c>
      <c r="H7" s="38">
        <v>42</v>
      </c>
      <c r="I7" s="38">
        <v>342</v>
      </c>
      <c r="J7" s="38"/>
      <c r="K7" s="38"/>
      <c r="L7" s="38"/>
      <c r="M7" s="38"/>
      <c r="N7" s="38">
        <v>6</v>
      </c>
      <c r="O7" s="38">
        <v>64</v>
      </c>
      <c r="P7" s="38">
        <v>1</v>
      </c>
      <c r="Q7" s="38">
        <v>3</v>
      </c>
      <c r="R7" s="38">
        <v>8</v>
      </c>
      <c r="S7" s="38">
        <v>27</v>
      </c>
      <c r="T7" s="38"/>
      <c r="U7" s="38"/>
      <c r="V7" s="38"/>
      <c r="W7" s="38"/>
      <c r="X7" s="38"/>
      <c r="Y7" s="38"/>
      <c r="Z7" s="38"/>
      <c r="AA7" s="38"/>
      <c r="AB7" s="48"/>
      <c r="AC7" s="49"/>
    </row>
    <row r="8" ht="25.15" customHeight="1" spans="1:29">
      <c r="A8" s="38" t="s">
        <v>265</v>
      </c>
      <c r="B8" s="38">
        <v>19</v>
      </c>
      <c r="C8" s="38">
        <v>19</v>
      </c>
      <c r="D8" s="38">
        <v>589</v>
      </c>
      <c r="E8" s="38">
        <f t="shared" si="0"/>
        <v>0</v>
      </c>
      <c r="F8" s="38">
        <f t="shared" si="1"/>
        <v>589</v>
      </c>
      <c r="G8" s="40">
        <f t="shared" si="2"/>
        <v>1</v>
      </c>
      <c r="H8" s="38"/>
      <c r="I8" s="38"/>
      <c r="J8" s="38"/>
      <c r="K8" s="38"/>
      <c r="L8" s="38"/>
      <c r="M8" s="38"/>
      <c r="N8" s="38">
        <v>1</v>
      </c>
      <c r="O8" s="38">
        <v>2</v>
      </c>
      <c r="P8" s="38"/>
      <c r="Q8" s="38"/>
      <c r="R8" s="38">
        <v>1</v>
      </c>
      <c r="S8" s="38">
        <v>3</v>
      </c>
      <c r="T8" s="38"/>
      <c r="U8" s="38"/>
      <c r="V8" s="38"/>
      <c r="W8" s="38"/>
      <c r="X8" s="38"/>
      <c r="Y8" s="38"/>
      <c r="Z8" s="38"/>
      <c r="AA8" s="38"/>
      <c r="AB8" s="48"/>
      <c r="AC8" s="47"/>
    </row>
    <row r="9" s="33" customFormat="1" ht="25.15" customHeight="1" spans="1:29">
      <c r="A9" s="38" t="s">
        <v>266</v>
      </c>
      <c r="B9" s="38">
        <v>17</v>
      </c>
      <c r="C9" s="38">
        <v>18</v>
      </c>
      <c r="D9" s="38">
        <v>323</v>
      </c>
      <c r="E9" s="38">
        <f t="shared" si="0"/>
        <v>21</v>
      </c>
      <c r="F9" s="38">
        <f t="shared" si="1"/>
        <v>302</v>
      </c>
      <c r="G9" s="40">
        <f t="shared" si="2"/>
        <v>0.934984520123839</v>
      </c>
      <c r="H9" s="38">
        <v>1</v>
      </c>
      <c r="I9" s="38">
        <v>21</v>
      </c>
      <c r="J9" s="38"/>
      <c r="K9" s="38"/>
      <c r="L9" s="38"/>
      <c r="M9" s="38"/>
      <c r="N9" s="38"/>
      <c r="O9" s="38"/>
      <c r="P9" s="38"/>
      <c r="Q9" s="38"/>
      <c r="R9" s="38">
        <v>2</v>
      </c>
      <c r="S9" s="38">
        <v>4</v>
      </c>
      <c r="T9" s="38"/>
      <c r="U9" s="38"/>
      <c r="V9" s="38"/>
      <c r="W9" s="38"/>
      <c r="X9" s="38"/>
      <c r="Y9" s="38"/>
      <c r="Z9" s="38"/>
      <c r="AA9" s="38"/>
      <c r="AB9" s="48" t="s">
        <v>267</v>
      </c>
      <c r="AC9" s="50"/>
    </row>
    <row r="10" ht="25.15" customHeight="1" spans="1:29">
      <c r="A10" s="38" t="s">
        <v>31</v>
      </c>
      <c r="B10" s="38">
        <v>5</v>
      </c>
      <c r="C10" s="38">
        <v>5</v>
      </c>
      <c r="D10" s="38">
        <v>82</v>
      </c>
      <c r="E10" s="38">
        <f t="shared" si="0"/>
        <v>0</v>
      </c>
      <c r="F10" s="38">
        <f t="shared" si="1"/>
        <v>82</v>
      </c>
      <c r="G10" s="40">
        <f t="shared" si="2"/>
        <v>1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>
        <v>1</v>
      </c>
      <c r="S10" s="38">
        <v>5</v>
      </c>
      <c r="T10" s="38"/>
      <c r="U10" s="38"/>
      <c r="V10" s="38"/>
      <c r="W10" s="38"/>
      <c r="X10" s="38"/>
      <c r="Y10" s="38"/>
      <c r="Z10" s="38"/>
      <c r="AA10" s="38"/>
      <c r="AB10" s="39"/>
      <c r="AC10" s="47"/>
    </row>
    <row r="11" ht="21.75" customHeight="1" spans="1:29">
      <c r="A11" s="38"/>
      <c r="B11" s="38">
        <f>SUM(B5:B10)</f>
        <v>491</v>
      </c>
      <c r="C11" s="38">
        <f>SUM(C5:C10)</f>
        <v>493</v>
      </c>
      <c r="D11" s="38"/>
      <c r="E11" s="38"/>
      <c r="F11" s="38"/>
      <c r="G11" s="38"/>
      <c r="H11" s="38">
        <f t="shared" ref="H11:K11" si="3">SUM(H5:H10)</f>
        <v>89</v>
      </c>
      <c r="I11" s="38">
        <f t="shared" si="3"/>
        <v>665</v>
      </c>
      <c r="J11" s="38">
        <f t="shared" si="3"/>
        <v>0</v>
      </c>
      <c r="K11" s="38">
        <f t="shared" si="3"/>
        <v>0</v>
      </c>
      <c r="L11" s="38">
        <f t="shared" ref="L11:AA11" si="4">SUM(L5:L10)</f>
        <v>0</v>
      </c>
      <c r="M11" s="38">
        <f t="shared" si="4"/>
        <v>0</v>
      </c>
      <c r="N11" s="38">
        <f t="shared" si="4"/>
        <v>22</v>
      </c>
      <c r="O11" s="38">
        <f t="shared" si="4"/>
        <v>234</v>
      </c>
      <c r="P11" s="38">
        <f t="shared" si="4"/>
        <v>4</v>
      </c>
      <c r="Q11" s="38">
        <f t="shared" si="4"/>
        <v>12</v>
      </c>
      <c r="R11" s="38">
        <f t="shared" si="4"/>
        <v>26</v>
      </c>
      <c r="S11" s="38">
        <f t="shared" si="4"/>
        <v>112</v>
      </c>
      <c r="T11" s="38">
        <f t="shared" si="4"/>
        <v>3</v>
      </c>
      <c r="U11" s="38">
        <f t="shared" si="4"/>
        <v>10</v>
      </c>
      <c r="V11" s="38">
        <f t="shared" si="4"/>
        <v>0</v>
      </c>
      <c r="W11" s="38">
        <f t="shared" si="4"/>
        <v>0</v>
      </c>
      <c r="X11" s="38">
        <f t="shared" si="4"/>
        <v>0</v>
      </c>
      <c r="Y11" s="38">
        <f t="shared" si="4"/>
        <v>0</v>
      </c>
      <c r="Z11" s="38">
        <f t="shared" si="4"/>
        <v>1</v>
      </c>
      <c r="AA11" s="38">
        <f t="shared" si="4"/>
        <v>6</v>
      </c>
      <c r="AB11" s="39"/>
      <c r="AC11" s="47"/>
    </row>
    <row r="12" s="34" customFormat="1" ht="32.1" customHeight="1" spans="1:29">
      <c r="A12" s="41"/>
      <c r="B12" s="41" t="s">
        <v>268</v>
      </c>
      <c r="C12" s="41"/>
      <c r="D12" s="41"/>
      <c r="E12" s="41"/>
      <c r="F12" s="41"/>
      <c r="G12" s="41"/>
      <c r="H12" s="41"/>
      <c r="I12" s="44" t="s">
        <v>245</v>
      </c>
      <c r="J12" s="44"/>
      <c r="K12" s="44"/>
      <c r="L12" s="41"/>
      <c r="M12" s="41"/>
      <c r="N12" s="41"/>
      <c r="O12" s="41"/>
      <c r="P12" s="41"/>
      <c r="Q12" s="41" t="s">
        <v>269</v>
      </c>
      <c r="R12" s="41"/>
      <c r="S12" s="41"/>
      <c r="T12" s="41"/>
      <c r="U12" s="41"/>
      <c r="V12" s="41"/>
      <c r="W12" s="41" t="s">
        <v>270</v>
      </c>
      <c r="X12" s="41"/>
      <c r="Y12" s="41" t="s">
        <v>271</v>
      </c>
      <c r="Z12" s="41"/>
      <c r="AA12" s="41"/>
      <c r="AB12" s="51"/>
      <c r="AC12" s="52"/>
    </row>
    <row r="14" s="32" customFormat="1" spans="1:250">
      <c r="A14" s="42" t="s">
        <v>272</v>
      </c>
      <c r="B14" s="32" t="s">
        <v>273</v>
      </c>
      <c r="T14"/>
      <c r="U14"/>
      <c r="V14"/>
      <c r="W14"/>
      <c r="X14"/>
      <c r="Y14"/>
      <c r="Z14"/>
      <c r="AA14"/>
      <c r="AB14" s="35"/>
      <c r="AC14" s="36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</row>
    <row r="15" s="32" customFormat="1" spans="2:250">
      <c r="B15" s="32" t="s">
        <v>274</v>
      </c>
      <c r="T15"/>
      <c r="U15"/>
      <c r="V15"/>
      <c r="W15"/>
      <c r="X15"/>
      <c r="Y15"/>
      <c r="Z15"/>
      <c r="AA15"/>
      <c r="AB15" s="35"/>
      <c r="AC15" s="36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</row>
    <row r="16" s="32" customFormat="1" spans="2:250">
      <c r="B16" s="32" t="s">
        <v>275</v>
      </c>
      <c r="T16"/>
      <c r="U16"/>
      <c r="V16"/>
      <c r="W16"/>
      <c r="X16"/>
      <c r="Y16"/>
      <c r="Z16"/>
      <c r="AA16"/>
      <c r="AB16" s="35"/>
      <c r="AC16" s="3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</row>
  </sheetData>
  <mergeCells count="19">
    <mergeCell ref="A2:AB2"/>
    <mergeCell ref="B3:C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Y12:AA12"/>
    <mergeCell ref="A3:A4"/>
    <mergeCell ref="D3:D4"/>
    <mergeCell ref="E3:E4"/>
    <mergeCell ref="F3:F4"/>
    <mergeCell ref="G3:G4"/>
    <mergeCell ref="AB3:AB4"/>
  </mergeCells>
  <pageMargins left="0.75" right="0.75" top="1" bottom="1" header="0.5" footer="0.5"/>
  <pageSetup paperSize="9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7"/>
  <sheetViews>
    <sheetView workbookViewId="0">
      <selection activeCell="D18" sqref="D18"/>
    </sheetView>
  </sheetViews>
  <sheetFormatPr defaultColWidth="9" defaultRowHeight="14.25"/>
  <cols>
    <col min="1" max="1" width="2.25" style="6" customWidth="1"/>
    <col min="2" max="2" width="4.5" style="6" customWidth="1"/>
    <col min="3" max="3" width="8.125" style="7" customWidth="1"/>
    <col min="4" max="4" width="10.625" style="8" customWidth="1"/>
    <col min="5" max="5" width="8.125" style="7" customWidth="1"/>
    <col min="6" max="6" width="8.375" style="7" customWidth="1"/>
    <col min="7" max="7" width="10.375" style="7" customWidth="1"/>
    <col min="8" max="9" width="16.25" style="9" customWidth="1"/>
    <col min="10" max="10" width="6.5" style="10" customWidth="1"/>
    <col min="11" max="16384" width="9" style="6"/>
  </cols>
  <sheetData>
    <row r="1" ht="30" customHeight="1" spans="2:2">
      <c r="B1" s="11" t="s">
        <v>276</v>
      </c>
    </row>
    <row r="2" ht="36.95" customHeight="1" spans="2:10">
      <c r="B2" s="12" t="s">
        <v>277</v>
      </c>
      <c r="C2" s="13"/>
      <c r="D2" s="13"/>
      <c r="E2" s="13"/>
      <c r="F2" s="13"/>
      <c r="G2" s="13"/>
      <c r="H2" s="12"/>
      <c r="I2" s="12"/>
      <c r="J2" s="29"/>
    </row>
    <row r="3" s="3" customFormat="1" ht="21.95" customHeight="1" spans="2:10">
      <c r="B3" s="14" t="s">
        <v>5</v>
      </c>
      <c r="C3" s="15" t="s">
        <v>7</v>
      </c>
      <c r="D3" s="16" t="s">
        <v>8</v>
      </c>
      <c r="E3" s="15" t="s">
        <v>226</v>
      </c>
      <c r="F3" s="15" t="s">
        <v>278</v>
      </c>
      <c r="G3" s="15" t="s">
        <v>279</v>
      </c>
      <c r="H3" s="17" t="s">
        <v>280</v>
      </c>
      <c r="I3" s="17" t="s">
        <v>281</v>
      </c>
      <c r="J3" s="14" t="s">
        <v>256</v>
      </c>
    </row>
    <row r="4" s="3" customFormat="1" ht="18" customHeight="1" spans="2:10">
      <c r="B4" s="14">
        <f>ROW()-3</f>
        <v>1</v>
      </c>
      <c r="C4" s="18"/>
      <c r="D4" s="18"/>
      <c r="E4" s="19"/>
      <c r="F4" s="20"/>
      <c r="G4" s="20"/>
      <c r="H4" s="21"/>
      <c r="I4" s="22"/>
      <c r="J4" s="22"/>
    </row>
    <row r="5" s="3" customFormat="1" ht="18" customHeight="1" spans="2:10">
      <c r="B5" s="14">
        <f t="shared" ref="B5:B14" si="0">ROW()-3</f>
        <v>2</v>
      </c>
      <c r="C5" s="22"/>
      <c r="D5" s="22"/>
      <c r="E5" s="19"/>
      <c r="F5" s="20"/>
      <c r="G5" s="20"/>
      <c r="H5" s="21"/>
      <c r="I5" s="21"/>
      <c r="J5" s="22"/>
    </row>
    <row r="6" s="3" customFormat="1" ht="18" customHeight="1" spans="2:10">
      <c r="B6" s="14">
        <f t="shared" si="0"/>
        <v>3</v>
      </c>
      <c r="C6" s="18"/>
      <c r="D6" s="18"/>
      <c r="E6" s="19"/>
      <c r="F6" s="20"/>
      <c r="G6" s="20"/>
      <c r="H6" s="21"/>
      <c r="I6" s="22"/>
      <c r="J6" s="22"/>
    </row>
    <row r="7" s="3" customFormat="1" ht="18" customHeight="1" spans="2:10">
      <c r="B7" s="14">
        <f t="shared" si="0"/>
        <v>4</v>
      </c>
      <c r="C7" s="18"/>
      <c r="D7" s="18"/>
      <c r="E7" s="19"/>
      <c r="F7" s="20"/>
      <c r="G7" s="20"/>
      <c r="H7" s="21"/>
      <c r="I7" s="22"/>
      <c r="J7" s="22"/>
    </row>
    <row r="8" s="3" customFormat="1" ht="18" customHeight="1" spans="2:10">
      <c r="B8" s="14">
        <f t="shared" si="0"/>
        <v>5</v>
      </c>
      <c r="C8" s="18"/>
      <c r="D8" s="18"/>
      <c r="E8" s="19"/>
      <c r="F8" s="20"/>
      <c r="G8" s="20"/>
      <c r="H8" s="21"/>
      <c r="I8" s="22"/>
      <c r="J8" s="22"/>
    </row>
    <row r="9" s="3" customFormat="1" ht="18" customHeight="1" spans="2:10">
      <c r="B9" s="14">
        <f t="shared" si="0"/>
        <v>6</v>
      </c>
      <c r="C9" s="18"/>
      <c r="D9" s="18"/>
      <c r="E9" s="19"/>
      <c r="F9" s="20"/>
      <c r="G9" s="20"/>
      <c r="H9" s="21"/>
      <c r="I9" s="22"/>
      <c r="J9" s="22"/>
    </row>
    <row r="10" s="3" customFormat="1" ht="18" customHeight="1" spans="2:10">
      <c r="B10" s="14">
        <f t="shared" si="0"/>
        <v>7</v>
      </c>
      <c r="C10" s="18"/>
      <c r="D10" s="18"/>
      <c r="E10" s="19"/>
      <c r="F10" s="20"/>
      <c r="G10" s="20"/>
      <c r="H10" s="21"/>
      <c r="I10" s="22"/>
      <c r="J10" s="22"/>
    </row>
    <row r="11" s="3" customFormat="1" ht="18" customHeight="1" spans="2:10">
      <c r="B11" s="14">
        <f t="shared" si="0"/>
        <v>8</v>
      </c>
      <c r="C11" s="18"/>
      <c r="D11" s="18"/>
      <c r="E11" s="19"/>
      <c r="F11" s="20"/>
      <c r="G11" s="22"/>
      <c r="H11" s="21"/>
      <c r="I11" s="22"/>
      <c r="J11" s="22"/>
    </row>
    <row r="12" s="3" customFormat="1" ht="18" customHeight="1" spans="2:10">
      <c r="B12" s="14">
        <f t="shared" si="0"/>
        <v>9</v>
      </c>
      <c r="C12" s="23"/>
      <c r="D12" s="23"/>
      <c r="E12" s="23"/>
      <c r="F12" s="23"/>
      <c r="G12" s="23"/>
      <c r="H12" s="23"/>
      <c r="I12" s="23"/>
      <c r="J12" s="23"/>
    </row>
    <row r="13" s="3" customFormat="1" ht="18" customHeight="1" spans="2:10">
      <c r="B13" s="14">
        <f t="shared" si="0"/>
        <v>10</v>
      </c>
      <c r="C13" s="23"/>
      <c r="D13" s="23"/>
      <c r="E13" s="23"/>
      <c r="F13" s="23"/>
      <c r="G13" s="23"/>
      <c r="H13" s="23"/>
      <c r="I13" s="23"/>
      <c r="J13" s="23"/>
    </row>
    <row r="14" s="3" customFormat="1" ht="18" customHeight="1" spans="2:10">
      <c r="B14" s="14">
        <f t="shared" si="0"/>
        <v>11</v>
      </c>
      <c r="C14" s="23"/>
      <c r="D14" s="23"/>
      <c r="E14" s="24"/>
      <c r="F14" s="24"/>
      <c r="G14" s="24"/>
      <c r="H14" s="24"/>
      <c r="I14" s="24"/>
      <c r="J14" s="24"/>
    </row>
    <row r="15" s="4" customFormat="1" ht="17.1" customHeight="1" spans="2:12">
      <c r="B15" s="14" t="s">
        <v>282</v>
      </c>
      <c r="C15" s="14"/>
      <c r="D15" s="16">
        <v>2</v>
      </c>
      <c r="E15" s="15" t="s">
        <v>283</v>
      </c>
      <c r="F15" s="15"/>
      <c r="G15" s="15">
        <v>0</v>
      </c>
      <c r="H15" s="17" t="s">
        <v>284</v>
      </c>
      <c r="I15" s="17"/>
      <c r="J15" s="30"/>
      <c r="K15" s="4" t="s">
        <v>257</v>
      </c>
      <c r="L15" s="4">
        <v>486</v>
      </c>
    </row>
    <row r="16" s="5" customFormat="1" ht="27.95" customHeight="1" spans="2:10">
      <c r="B16" s="25" t="s">
        <v>268</v>
      </c>
      <c r="C16" s="25"/>
      <c r="D16" s="25"/>
      <c r="E16" s="26"/>
      <c r="F16" s="27" t="s">
        <v>245</v>
      </c>
      <c r="G16" s="27"/>
      <c r="H16" s="28" t="s">
        <v>285</v>
      </c>
      <c r="I16" s="28"/>
      <c r="J16" s="31"/>
    </row>
    <row r="17" spans="9:9">
      <c r="I17" s="9">
        <f>L15+D15-G15</f>
        <v>488</v>
      </c>
    </row>
  </sheetData>
  <autoFilter ref="B3:J17">
    <extLst/>
  </autoFilter>
  <mergeCells count="7">
    <mergeCell ref="B2:J2"/>
    <mergeCell ref="B15:C15"/>
    <mergeCell ref="E15:F15"/>
    <mergeCell ref="H15:I15"/>
    <mergeCell ref="B16:D16"/>
    <mergeCell ref="F16:G16"/>
    <mergeCell ref="H16:I16"/>
  </mergeCells>
  <printOptions horizontalCentered="1"/>
  <pageMargins left="0.46875" right="0.429166666666667" top="0.26875" bottom="0.338888888888889" header="0.11875" footer="0.279166666666667"/>
  <pageSetup paperSize="9" orientation="portrait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A1" sqref="A1:A27"/>
    </sheetView>
  </sheetViews>
  <sheetFormatPr defaultColWidth="9" defaultRowHeight="14.25"/>
  <sheetData>
    <row r="1" spans="1:1">
      <c r="A1" s="1" t="s">
        <v>33</v>
      </c>
    </row>
    <row r="2" spans="1:1">
      <c r="A2" s="1" t="s">
        <v>32</v>
      </c>
    </row>
    <row r="3" spans="1:1">
      <c r="A3" s="1" t="s">
        <v>33</v>
      </c>
    </row>
    <row r="4" spans="1:1">
      <c r="A4" s="2" t="s">
        <v>43</v>
      </c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2" t="s">
        <v>43</v>
      </c>
    </row>
    <row r="10" spans="1:1">
      <c r="A10" s="1" t="s">
        <v>60</v>
      </c>
    </row>
    <row r="11" spans="1:1">
      <c r="A11" s="1" t="s">
        <v>34</v>
      </c>
    </row>
    <row r="12" spans="1:1">
      <c r="A12" s="1" t="s">
        <v>53</v>
      </c>
    </row>
    <row r="13" spans="1:1">
      <c r="A13" s="2" t="s">
        <v>43</v>
      </c>
    </row>
    <row r="14" spans="1:1">
      <c r="A14" s="1" t="s">
        <v>60</v>
      </c>
    </row>
    <row r="15" spans="1:1">
      <c r="A15" s="1" t="s">
        <v>34</v>
      </c>
    </row>
    <row r="16" spans="1:1">
      <c r="A16" s="1" t="s">
        <v>53</v>
      </c>
    </row>
    <row r="17" spans="1:1">
      <c r="A17" s="1" t="s">
        <v>60</v>
      </c>
    </row>
    <row r="18" spans="1:1">
      <c r="A18" s="1" t="s">
        <v>61</v>
      </c>
    </row>
    <row r="19" spans="1:1">
      <c r="A19" s="1" t="s">
        <v>34</v>
      </c>
    </row>
    <row r="20" spans="1:1">
      <c r="A20" s="1" t="s">
        <v>60</v>
      </c>
    </row>
    <row r="21" spans="1:1">
      <c r="A21" s="1" t="s">
        <v>53</v>
      </c>
    </row>
    <row r="22" spans="1:1">
      <c r="A22" s="1" t="s">
        <v>34</v>
      </c>
    </row>
    <row r="23" spans="1:1">
      <c r="A23" s="1" t="s">
        <v>61</v>
      </c>
    </row>
    <row r="24" spans="1:1">
      <c r="A24" s="1" t="s">
        <v>60</v>
      </c>
    </row>
    <row r="25" spans="1:1">
      <c r="A25" s="1" t="s">
        <v>60</v>
      </c>
    </row>
    <row r="26" spans="1:1">
      <c r="A26" s="1" t="s">
        <v>34</v>
      </c>
    </row>
    <row r="27" spans="1:1">
      <c r="A27" s="1" t="s">
        <v>53</v>
      </c>
    </row>
  </sheetData>
  <conditionalFormatting sqref="A13">
    <cfRule type="expression" dxfId="5" priority="5">
      <formula>A13="探"</formula>
    </cfRule>
    <cfRule type="expression" dxfId="4" priority="6">
      <formula>A13="年"</formula>
    </cfRule>
    <cfRule type="expression" dxfId="3" priority="7">
      <formula>A13="事"</formula>
    </cfRule>
    <cfRule type="expression" dxfId="2" priority="8">
      <formula>A13="病"</formula>
    </cfRule>
  </conditionalFormatting>
  <conditionalFormatting sqref="A20">
    <cfRule type="expression" dxfId="5" priority="1">
      <formula>A20="探"</formula>
    </cfRule>
    <cfRule type="expression" dxfId="4" priority="2">
      <formula>A20="年"</formula>
    </cfRule>
    <cfRule type="expression" dxfId="3" priority="3">
      <formula>A20="事"</formula>
    </cfRule>
    <cfRule type="expression" dxfId="2" priority="4">
      <formula>A20="病"</formula>
    </cfRule>
  </conditionalFormatting>
  <conditionalFormatting sqref="A1:A12 A14:A19 A21:A27">
    <cfRule type="expression" dxfId="5" priority="9">
      <formula>A1="探"</formula>
    </cfRule>
    <cfRule type="expression" dxfId="4" priority="10">
      <formula>A1="年"</formula>
    </cfRule>
    <cfRule type="expression" dxfId="3" priority="11">
      <formula>A1="事"</formula>
    </cfRule>
    <cfRule type="expression" dxfId="2" priority="12">
      <formula>A1="病"</formula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附件1考勤表 </vt:lpstr>
      <vt:lpstr>附件2非正常出勤人员汇总表 </vt:lpstr>
      <vt:lpstr>附件3考勤统计汇总表</vt:lpstr>
      <vt:lpstr>附件4车间部门变动表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白祖武</dc:creator>
  <cp:lastModifiedBy>Administrator</cp:lastModifiedBy>
  <cp:revision>1</cp:revision>
  <dcterms:created xsi:type="dcterms:W3CDTF">2006-09-30T02:00:00Z</dcterms:created>
  <cp:lastPrinted>2021-08-27T02:19:00Z</cp:lastPrinted>
  <dcterms:modified xsi:type="dcterms:W3CDTF">2024-11-01T23:45:07Z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AD3856B7E16B438795BE64BC3B0F0FDB</vt:lpwstr>
  </property>
  <property fmtid="{D5CDD505-2E9C-101B-9397-08002B2CF9AE}" pid="4" name="KSOReadingLayout">
    <vt:bool>true</vt:bool>
  </property>
</Properties>
</file>